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stuconestogacon-my.sharepoint.com/personal/ssalvi9427_conestogac_on_ca/Documents/"/>
    </mc:Choice>
  </mc:AlternateContent>
  <xr:revisionPtr revIDLastSave="0" documentId="8_{BA4AA40F-E05B-4A5E-8DD5-37C608E04577}" xr6:coauthVersionLast="47" xr6:coauthVersionMax="47" xr10:uidLastSave="{00000000-0000-0000-0000-000000000000}"/>
  <bookViews>
    <workbookView xWindow="-120" yWindow="-120" windowWidth="25890" windowHeight="13020" firstSheet="1" activeTab="1" xr2:uid="{B71D5B67-3553-214C-ABF1-3FB2E42A7B9B}"/>
  </bookViews>
  <sheets>
    <sheet name="ReadMeFirst" sheetId="2" r:id="rId1"/>
    <sheet name="Final Dataset" sheetId="1" r:id="rId2"/>
    <sheet name="Part 1 Cities+Year" sheetId="3" r:id="rId3"/>
    <sheet name="Part 2 Cities" sheetId="5" r:id="rId4"/>
    <sheet name="Part 3 Cities Tabular" sheetId="6" r:id="rId5"/>
    <sheet name="Part 4 Cities Tabular and Rank" sheetId="7" r:id="rId6"/>
  </sheets>
  <definedNames>
    <definedName name="_xlcn.WorksheetConnection_FinalDatasetA7L367" hidden="1">'Final Dataset'!$A$7:$L$367</definedName>
  </definedNames>
  <calcPr calcId="191028"/>
  <pivotCaches>
    <pivotCache cacheId="939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Final Dataset!$A$7:$L$36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7" l="1"/>
  <c r="I20" i="7"/>
  <c r="I21" i="7"/>
  <c r="I22" i="7"/>
  <c r="I23" i="7"/>
  <c r="I24" i="7"/>
  <c r="I25" i="7"/>
  <c r="I26" i="7"/>
  <c r="I27" i="7"/>
  <c r="I18" i="7"/>
  <c r="H19" i="7"/>
  <c r="H20" i="7"/>
  <c r="H21" i="7"/>
  <c r="H22" i="7"/>
  <c r="H23" i="7"/>
  <c r="H24" i="7"/>
  <c r="H25" i="7"/>
  <c r="H26" i="7"/>
  <c r="H27" i="7"/>
  <c r="H18" i="7"/>
  <c r="G19" i="7"/>
  <c r="G20" i="7"/>
  <c r="G21" i="7"/>
  <c r="G22" i="7"/>
  <c r="G23" i="7"/>
  <c r="G24" i="7"/>
  <c r="G25" i="7"/>
  <c r="G26" i="7"/>
  <c r="G27" i="7"/>
  <c r="G18" i="7"/>
  <c r="G17" i="7"/>
  <c r="F19" i="7"/>
  <c r="F20" i="7"/>
  <c r="F21" i="7"/>
  <c r="F22" i="7"/>
  <c r="F23" i="7"/>
  <c r="F24" i="7"/>
  <c r="F27" i="7"/>
  <c r="F18" i="7"/>
  <c r="F17" i="7"/>
  <c r="E19" i="7"/>
  <c r="E20" i="7"/>
  <c r="E21" i="7"/>
  <c r="E22" i="7"/>
  <c r="E23" i="7"/>
  <c r="E24" i="7"/>
  <c r="E27" i="7"/>
  <c r="E18" i="7"/>
  <c r="E17" i="7"/>
  <c r="D19" i="7"/>
  <c r="D20" i="7"/>
  <c r="D21" i="7"/>
  <c r="D22" i="7"/>
  <c r="D23" i="7"/>
  <c r="D24" i="7"/>
  <c r="D25" i="7"/>
  <c r="D26" i="7"/>
  <c r="D27" i="7"/>
  <c r="D18" i="7"/>
  <c r="C18" i="7"/>
  <c r="D17" i="7"/>
  <c r="C19" i="7"/>
  <c r="C20" i="7"/>
  <c r="C21" i="7"/>
  <c r="C22" i="7"/>
  <c r="C23" i="7"/>
  <c r="C24" i="7"/>
  <c r="C25" i="7"/>
  <c r="C26" i="7"/>
  <c r="C27" i="7"/>
  <c r="C17" i="7"/>
  <c r="B27" i="7"/>
  <c r="B18" i="7"/>
  <c r="B19" i="7"/>
  <c r="B20" i="7"/>
  <c r="B21" i="7"/>
  <c r="B22" i="7"/>
  <c r="B23" i="7"/>
  <c r="B24" i="7"/>
  <c r="B25" i="7"/>
  <c r="B26" i="7"/>
  <c r="B17" i="7"/>
  <c r="A18" i="7"/>
  <c r="A19" i="7"/>
  <c r="A20" i="7"/>
  <c r="A21" i="7"/>
  <c r="A22" i="7"/>
  <c r="A23" i="7"/>
  <c r="A24" i="7"/>
  <c r="A25" i="7"/>
  <c r="A26" i="7"/>
  <c r="A27" i="7"/>
  <c r="A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bnixon</author>
  </authors>
  <commentList>
    <comment ref="B9" authorId="0" shapeId="0" xr:uid="{4CF43662-6B28-664C-9322-C5F4B7065D5F}">
      <text>
        <r>
          <rPr>
            <b/>
            <sz val="9"/>
            <color indexed="81"/>
            <rFont val="Tahoma"/>
            <family val="2"/>
          </rPr>
          <t>bnixon:</t>
        </r>
        <r>
          <rPr>
            <sz val="9"/>
            <color indexed="81"/>
            <rFont val="Tahoma"/>
            <family val="2"/>
          </rPr>
          <t xml:space="preserve">
This is optional</t>
        </r>
      </text>
    </comment>
    <comment ref="A16" authorId="0" shapeId="0" xr:uid="{8EC2FD6A-3E0C-5047-8165-6EFC034A0826}">
      <text>
        <r>
          <rPr>
            <b/>
            <sz val="9"/>
            <color indexed="81"/>
            <rFont val="Tahoma"/>
            <family val="2"/>
          </rPr>
          <t>bnixon: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B35" authorId="0" shapeId="0" xr:uid="{EFAD8D81-5123-8545-8D81-66134EDF1835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Click here to jump to the related sheet.  This is a hyperlink.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92563-387D-45C1-B1E5-A912D8DB59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71C525-ADA9-4957-BA37-0FBF248193D2}" name="WorksheetConnection_Final Dataset!$A$7:$L$367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FinalDatasetA7L367"/>
        </x15:connection>
      </ext>
    </extLst>
  </connection>
</connections>
</file>

<file path=xl/sharedStrings.xml><?xml version="1.0" encoding="utf-8"?>
<sst xmlns="http://schemas.openxmlformats.org/spreadsheetml/2006/main" count="874" uniqueCount="107">
  <si>
    <t>Read Me First</t>
  </si>
  <si>
    <t>INFO8136 Week 10 PA 03 Workbook</t>
  </si>
  <si>
    <t>This Excel Workbook was:</t>
  </si>
  <si>
    <t>Created by:</t>
  </si>
  <si>
    <t>Sakshi Sandeep Salvi   (she/her)  Initials: SS</t>
  </si>
  <si>
    <t>Created for:</t>
  </si>
  <si>
    <t>Conestoga College BA Program, Courses INFO 8136 Practical Assignment 03</t>
  </si>
  <si>
    <t>Created on:</t>
  </si>
  <si>
    <t>Project:</t>
  </si>
  <si>
    <t>Practical Assignment #3</t>
  </si>
  <si>
    <t>Possible Consumers of this:</t>
  </si>
  <si>
    <t>All Section Members of INFO8136</t>
  </si>
  <si>
    <t>Copyright:</t>
  </si>
  <si>
    <t>Conestoga College, 2025.  All rights reserved</t>
  </si>
  <si>
    <t>Useage rights granted to registered section members of INFO 8136</t>
  </si>
  <si>
    <t>Assumptions:</t>
  </si>
  <si>
    <t>City names will be resolved through exact matches in 3D Maps</t>
  </si>
  <si>
    <t>Coordinates are added to Cities table manually for PowerMap compatibility</t>
  </si>
  <si>
    <t>Document History</t>
  </si>
  <si>
    <t>ID</t>
  </si>
  <si>
    <t>Updated by and on:</t>
  </si>
  <si>
    <t>Published on:</t>
  </si>
  <si>
    <t>Reason(s):</t>
  </si>
  <si>
    <t>Sakshi Sandeep Salvi  July 08, 2025</t>
  </si>
  <si>
    <t>Initial version with city data, metric columns and mapping support.</t>
  </si>
  <si>
    <t>Added Month Name, Latitude and Longitude columns.</t>
  </si>
  <si>
    <t>ReadMeFirst sheet created.</t>
  </si>
  <si>
    <t>Sakshi Sandeep Salvi  July 17, 2025</t>
  </si>
  <si>
    <t>Dataset updated.</t>
  </si>
  <si>
    <t>Sakshi Sandeep Salvi  July 18, 2025</t>
  </si>
  <si>
    <t>Creation of the Part 1 to Part 4 sheets. And working on pivot tables.</t>
  </si>
  <si>
    <t>Sakshi Sandeep Salvi  July 19, 2025</t>
  </si>
  <si>
    <t>Finalized the Workbook.</t>
  </si>
  <si>
    <t>Sources and References</t>
  </si>
  <si>
    <t xml:space="preserve">Practical Assignment #3 </t>
  </si>
  <si>
    <t>see eConestoga Evaluations / Practical Assignments content</t>
  </si>
  <si>
    <t>Video from Prof Bill Nixon regarding Week 9</t>
  </si>
  <si>
    <t>refer eConestoga Week 9</t>
  </si>
  <si>
    <t>Practical Assignment #3 Met Expectations Document</t>
  </si>
  <si>
    <t>Video from Prof Bill Nixon regarding Week 10</t>
  </si>
  <si>
    <t>refer eConestoga Week 10</t>
  </si>
  <si>
    <t>SQL notes from SQL and Data Analytics Course (Semester 1)</t>
  </si>
  <si>
    <t>refer eConestoga SQL and Data Analytics</t>
  </si>
  <si>
    <t>Discussion with Professor</t>
  </si>
  <si>
    <t>Professor</t>
  </si>
  <si>
    <t>Sheets in this Workbook</t>
  </si>
  <si>
    <t>Sheet Name</t>
  </si>
  <si>
    <t>Description</t>
  </si>
  <si>
    <t>Work Type</t>
  </si>
  <si>
    <t>ReadMeFirst</t>
  </si>
  <si>
    <t>excel workbook information and history</t>
  </si>
  <si>
    <t>Documentation</t>
  </si>
  <si>
    <t>Final Dataset</t>
  </si>
  <si>
    <t>3 key metrics and additional data required for power maps</t>
  </si>
  <si>
    <t>Data Analyst</t>
  </si>
  <si>
    <t>Part 1 Cities+Year</t>
  </si>
  <si>
    <t>Pivot table with information about Cities and Year</t>
  </si>
  <si>
    <t>Part 2 Cities</t>
  </si>
  <si>
    <t>Pivot table with information about Cities</t>
  </si>
  <si>
    <t>Part 3 Cities Tabular</t>
  </si>
  <si>
    <t>Pivot table with information about Cities in tabular format</t>
  </si>
  <si>
    <t>Part 4 Cities Tabular and Rank</t>
  </si>
  <si>
    <t>Pivot table with information about Cities in tabular format and Ranking.</t>
  </si>
  <si>
    <t>INFO8135 - PA3 Dataset - Sakshi Sandeep Salvi</t>
  </si>
  <si>
    <t>City_Id</t>
  </si>
  <si>
    <t>City_Name</t>
  </si>
  <si>
    <t>Latitude</t>
  </si>
  <si>
    <t>Longitude</t>
  </si>
  <si>
    <t>Year_Id</t>
  </si>
  <si>
    <t>Month_Id</t>
  </si>
  <si>
    <t>Month_Name</t>
  </si>
  <si>
    <t>Employment_Rate</t>
  </si>
  <si>
    <t>Average_Rent_Cpi</t>
  </si>
  <si>
    <t>Violent_Crimes_Rate_Per_100K</t>
  </si>
  <si>
    <t>Gas_Price_Cents</t>
  </si>
  <si>
    <t>Total_Precip_Mm</t>
  </si>
  <si>
    <t xml:space="preserve">Calgary                                                                                                                                                                                                                                                       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</si>
  <si>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</si>
  <si>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</si>
  <si>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</si>
  <si>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</si>
  <si>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</si>
  <si>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</si>
  <si>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</si>
  <si>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</si>
  <si>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</si>
  <si>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</si>
  <si>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</si>
  <si>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</si>
  <si>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Edmonton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</si>
  <si>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Halifax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</si>
  <si>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Waterloo Region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</si>
  <si>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Winnipeg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</si>
  <si>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Mississauga (Hamilton)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</si>
  <si>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Montreal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</si>
  <si>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Ottawa-Gatineau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</si>
  <si>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Vancouver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</si>
  <si>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Toronto                                                                                                                                                                                                                                                        </t>
  </si>
  <si>
    <t>Row Labels</t>
  </si>
  <si>
    <t>Sum of Employment_Rate</t>
  </si>
  <si>
    <t>Sum of Average_Rent_Cpi</t>
  </si>
  <si>
    <t>Sum of Violent_Crimes_Rate_Per_100K</t>
  </si>
  <si>
    <t>Sum of Gas_Price_Cents</t>
  </si>
  <si>
    <t>Sum of Total_Precip_Mm</t>
  </si>
  <si>
    <t>Grand Total</t>
  </si>
  <si>
    <t>Total Points</t>
  </si>
  <si>
    <t>Final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</si>
</sst>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 applyAlignment="1">
      <alignment horizontal="left"/>
    </xf>
    <xf numFmtId="0" fontId="7" fillId="0" borderId="0" xfId="0" applyFont="1"/>
    <xf numFmtId="15" fontId="6" fillId="0" borderId="0" xfId="0" applyNumberFormat="1" applyFont="1"/>
    <xf numFmtId="0" fontId="4" fillId="0" borderId="0" xfId="1" applyFont="1"/>
    <xf numFmtId="0" fontId="4" fillId="0" borderId="0" xfId="0" applyFont="1" applyAlignment="1">
      <alignment horizontal="center"/>
    </xf>
    <xf numFmtId="0" fontId="8" fillId="0" borderId="0" xfId="1" applyFont="1"/>
    <xf numFmtId="0" fontId="8" fillId="0" borderId="0" xfId="1" applyFont="1" applyFill="1"/>
    <xf numFmtId="0" fontId="2" fillId="0" borderId="0" xfId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4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Salvi" refreshedDate="45855.711524652776" createdVersion="8" refreshedVersion="8" minRefreshableVersion="3" recordCount="360" xr:uid="{331814C4-A4E7-AF49-974E-1B4C3A5C9603}">
  <cacheSource type="worksheet">
    <worksheetSource ref="A7:L367" sheet="Final Dataset"/>
  </cacheSource>
  <cacheFields count="12">
    <cacheField name="City_Id" numFmtId="0">
      <sharedItems containsSemiMixedTypes="0" containsString="0" containsNumber="1" containsInteger="1" minValue="73" maxValue="82" count="10">
        <n v="73"/>
        <n v="74"/>
        <n v="75"/>
        <n v="76"/>
        <n v="77"/>
        <n v="78"/>
        <n v="79"/>
        <n v="80"/>
        <n v="81"/>
        <n v="82"/>
      </sharedItems>
    </cacheField>
    <cacheField name="City_Name" numFmtId="0">
      <sharedItems count="10">
        <s v="Calgary                                                                                                                                                                                                                                                        "/>
        <s v="Edmonton                                                                                                                                                                                                                                                       "/>
        <s v="Halifax                                                                                                                                                                                                                                                        "/>
        <s v="Waterloo Region                                                                                                                                                                                                                                                "/>
        <s v="Winnipeg                                                                                                                                                                                                                                                       "/>
        <s v="Mississauga (Hamilton)                                                                                                                                                                                                                                         "/>
        <s v="Montreal                                                                                                                                                                                                                                                       "/>
        <s v="Ottawa-Gatineau                                                                                                                                                                                                                                                "/>
        <s v="Vancouver                                                                                                                                                                                                                                                      "/>
        <s v="Toronto                                                                                                                                                                                                                                                        "/>
      </sharedItems>
    </cacheField>
    <cacheField name="Latitude" numFmtId="0">
      <sharedItems containsSemiMixedTypes="0" containsString="0" containsNumber="1" minValue="43.464300000000001" maxValue="53.546100000000003"/>
    </cacheField>
    <cacheField name="Longitude" numFmtId="0">
      <sharedItems containsSemiMixedTypes="0" containsString="0" containsNumber="1" minValue="-123.1207" maxValue="-63.575200000000002"/>
    </cacheField>
    <cacheField name="Year_Id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_Id" numFmtId="0">
      <sharedItems containsSemiMixedTypes="0" containsString="0" containsNumber="1" containsInteger="1" minValue="1" maxValue="12"/>
    </cacheField>
    <cacheField name="Month_Name" numFmtId="0">
      <sharedItems/>
    </cacheField>
    <cacheField name="Employment_Rate" numFmtId="0">
      <sharedItems containsSemiMixedTypes="0" containsString="0" containsNumber="1" minValue="59.2" maxValue="132.1"/>
    </cacheField>
    <cacheField name="Average_Rent_Cpi" numFmtId="0">
      <sharedItems containsString="0" containsBlank="1" containsNumber="1" minValue="139.6" maxValue="155.4"/>
    </cacheField>
    <cacheField name="Violent_Crimes_Rate_Per_100K" numFmtId="0">
      <sharedItems containsString="0" containsBlank="1" containsNumber="1" minValue="713.44" maxValue="1873.97"/>
    </cacheField>
    <cacheField name="Gas_Price_Cents" numFmtId="0">
      <sharedItems containsString="0" containsBlank="1" containsNumber="1" minValue="106.77500000000001" maxValue="240.02500000000001"/>
    </cacheField>
    <cacheField name="Total_Precip_Mm" numFmtId="0">
      <sharedItems containsSemiMixedTypes="0" containsString="0" containsNumber="1" minValue="0" maxValue="6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51.044699999999999"/>
    <n v="-114.0719"/>
    <x v="0"/>
    <n v="1"/>
    <s v="January"/>
    <n v="65.599999999999994"/>
    <n v="151.0571429"/>
    <n v="1012.59"/>
    <n v="144.15"/>
    <n v="3.4"/>
  </r>
  <r>
    <x v="0"/>
    <x v="0"/>
    <n v="51.044699999999999"/>
    <n v="-114.0719"/>
    <x v="0"/>
    <n v="2"/>
    <s v="February"/>
    <n v="66.7"/>
    <n v="151.0571429"/>
    <n v="1012.59"/>
    <n v="154.19999999999999"/>
    <n v="24.2"/>
  </r>
  <r>
    <x v="0"/>
    <x v="0"/>
    <n v="51.044699999999999"/>
    <n v="-114.0719"/>
    <x v="0"/>
    <n v="3"/>
    <s v="March"/>
    <n v="66.900000000000006"/>
    <n v="151.0571429"/>
    <n v="1012.59"/>
    <n v="125.2333333"/>
    <n v="9.3000000000000007"/>
  </r>
  <r>
    <x v="0"/>
    <x v="0"/>
    <n v="51.044699999999999"/>
    <n v="-114.0719"/>
    <x v="0"/>
    <n v="4"/>
    <s v="April"/>
    <n v="67.099999999999994"/>
    <n v="151.0571429"/>
    <n v="1012.59"/>
    <n v="130.4"/>
    <n v="40.6"/>
  </r>
  <r>
    <x v="0"/>
    <x v="0"/>
    <n v="51.044699999999999"/>
    <n v="-114.0719"/>
    <x v="0"/>
    <n v="5"/>
    <s v="May"/>
    <n v="67.2"/>
    <n v="151.0571429"/>
    <n v="1012.59"/>
    <n v="133.96666669999999"/>
    <n v="12.1"/>
  </r>
  <r>
    <x v="0"/>
    <x v="0"/>
    <n v="51.044699999999999"/>
    <n v="-114.0719"/>
    <x v="0"/>
    <n v="6"/>
    <s v="June"/>
    <n v="67.8"/>
    <n v="151.0571429"/>
    <n v="1012.59"/>
    <n v="136.06666670000001"/>
    <n v="137.9"/>
  </r>
  <r>
    <x v="0"/>
    <x v="0"/>
    <n v="51.044699999999999"/>
    <n v="-114.0719"/>
    <x v="0"/>
    <n v="7"/>
    <s v="July"/>
    <n v="68.3"/>
    <n v="151.0571429"/>
    <n v="1012.59"/>
    <n v="139.3666667"/>
    <n v="64.099999999999994"/>
  </r>
  <r>
    <x v="0"/>
    <x v="0"/>
    <n v="51.044699999999999"/>
    <n v="-114.0719"/>
    <x v="0"/>
    <n v="8"/>
    <s v="August"/>
    <n v="68.400000000000006"/>
    <n v="151.0571429"/>
    <n v="1012.59"/>
    <n v="139.3666667"/>
    <n v="30.1"/>
  </r>
  <r>
    <x v="0"/>
    <x v="0"/>
    <n v="51.044699999999999"/>
    <n v="-114.0719"/>
    <x v="0"/>
    <n v="9"/>
    <s v="September"/>
    <n v="68.099999999999994"/>
    <n v="151.0571429"/>
    <n v="1012.59"/>
    <n v="138.2666667"/>
    <n v="10.8"/>
  </r>
  <r>
    <x v="0"/>
    <x v="0"/>
    <n v="51.044699999999999"/>
    <n v="-114.0719"/>
    <x v="0"/>
    <n v="10"/>
    <s v="October"/>
    <n v="67.900000000000006"/>
    <n v="151.0571429"/>
    <n v="1012.59"/>
    <n v="147.83333329999999"/>
    <n v="29.3"/>
  </r>
  <r>
    <x v="0"/>
    <x v="0"/>
    <n v="51.044699999999999"/>
    <n v="-114.0719"/>
    <x v="0"/>
    <n v="11"/>
    <s v="November"/>
    <n v="67.5"/>
    <n v="151.0571429"/>
    <n v="1012.59"/>
    <n v="147.96666669999999"/>
    <n v="32.5"/>
  </r>
  <r>
    <x v="0"/>
    <x v="0"/>
    <n v="51.044699999999999"/>
    <n v="-114.0719"/>
    <x v="0"/>
    <n v="12"/>
    <s v="December"/>
    <n v="67"/>
    <n v="155.4"/>
    <n v="1012.59"/>
    <n v="146.33333329999999"/>
    <n v="19.100000000000001"/>
  </r>
  <r>
    <x v="0"/>
    <x v="0"/>
    <n v="51.044699999999999"/>
    <n v="-114.0719"/>
    <x v="1"/>
    <n v="1"/>
    <s v="January"/>
    <n v="66.3"/>
    <n v="155.4"/>
    <n v="1061.44"/>
    <n v="170.75"/>
    <n v="18.3"/>
  </r>
  <r>
    <x v="0"/>
    <x v="0"/>
    <n v="51.044699999999999"/>
    <n v="-114.0719"/>
    <x v="1"/>
    <n v="2"/>
    <s v="February"/>
    <n v="65.900000000000006"/>
    <n v="155.4"/>
    <n v="1061.44"/>
    <n v="166.67500000000001"/>
    <n v="29.8"/>
  </r>
  <r>
    <x v="0"/>
    <x v="0"/>
    <n v="51.044699999999999"/>
    <n v="-114.0719"/>
    <x v="1"/>
    <n v="3"/>
    <s v="March"/>
    <n v="66"/>
    <n v="155.4"/>
    <n v="1061.44"/>
    <n v="161.65"/>
    <n v="19.600000000000001"/>
  </r>
  <r>
    <x v="0"/>
    <x v="0"/>
    <n v="51.044699999999999"/>
    <n v="-114.0719"/>
    <x v="1"/>
    <n v="4"/>
    <s v="April"/>
    <n v="66.599999999999994"/>
    <n v="155.4"/>
    <n v="1061.44"/>
    <n v="169.56666670000001"/>
    <n v="6.1"/>
  </r>
  <r>
    <x v="0"/>
    <x v="0"/>
    <n v="51.044699999999999"/>
    <n v="-114.0719"/>
    <x v="1"/>
    <n v="5"/>
    <s v="May"/>
    <n v="67.099999999999994"/>
    <n v="155.4"/>
    <n v="1061.44"/>
    <n v="181.4"/>
    <n v="30.4"/>
  </r>
  <r>
    <x v="0"/>
    <x v="0"/>
    <n v="51.044699999999999"/>
    <n v="-114.0719"/>
    <x v="1"/>
    <n v="6"/>
    <s v="June"/>
    <n v="67.400000000000006"/>
    <n v="155.4"/>
    <n v="1061.44"/>
    <n v="199.6333333"/>
    <n v="70.099999999999994"/>
  </r>
  <r>
    <x v="0"/>
    <x v="0"/>
    <n v="51.044699999999999"/>
    <n v="-114.0719"/>
    <x v="1"/>
    <n v="7"/>
    <s v="July"/>
    <n v="67.099999999999994"/>
    <n v="155.4"/>
    <n v="1061.44"/>
    <n v="189.6"/>
    <n v="42.9"/>
  </r>
  <r>
    <x v="0"/>
    <x v="0"/>
    <n v="51.044699999999999"/>
    <n v="-114.0719"/>
    <x v="1"/>
    <n v="8"/>
    <s v="August"/>
    <n v="67.5"/>
    <n v="155.4"/>
    <n v="1061.44"/>
    <n v="166.4"/>
    <n v="50.7"/>
  </r>
  <r>
    <x v="0"/>
    <x v="0"/>
    <n v="51.044699999999999"/>
    <n v="-114.0719"/>
    <x v="1"/>
    <n v="9"/>
    <s v="September"/>
    <n v="66.900000000000006"/>
    <n v="155.4"/>
    <n v="1061.44"/>
    <n v="161.30000000000001"/>
    <n v="18.8"/>
  </r>
  <r>
    <x v="0"/>
    <x v="0"/>
    <n v="51.044699999999999"/>
    <n v="-114.0719"/>
    <x v="1"/>
    <n v="10"/>
    <s v="October"/>
    <n v="66.599999999999994"/>
    <n v="155.4"/>
    <n v="1061.44"/>
    <n v="182.5"/>
    <n v="36.799999999999997"/>
  </r>
  <r>
    <x v="0"/>
    <x v="0"/>
    <n v="51.044699999999999"/>
    <n v="-114.0719"/>
    <x v="1"/>
    <n v="11"/>
    <s v="November"/>
    <n v="65.8"/>
    <n v="155.4"/>
    <n v="1061.44"/>
    <n v="172.1333333"/>
    <n v="3.4"/>
  </r>
  <r>
    <x v="0"/>
    <x v="0"/>
    <n v="51.044699999999999"/>
    <n v="-114.0719"/>
    <x v="1"/>
    <n v="12"/>
    <s v="December"/>
    <n v="65.8"/>
    <n v="155.4"/>
    <n v="1061.44"/>
    <n v="151.33333329999999"/>
    <n v="21.1"/>
  </r>
  <r>
    <x v="0"/>
    <x v="0"/>
    <n v="51.044699999999999"/>
    <n v="-114.0719"/>
    <x v="2"/>
    <n v="1"/>
    <s v="January"/>
    <n v="66.2"/>
    <m/>
    <n v="1075.25"/>
    <n v="149.7333333"/>
    <n v="27.9"/>
  </r>
  <r>
    <x v="0"/>
    <x v="0"/>
    <n v="51.044699999999999"/>
    <n v="-114.0719"/>
    <x v="2"/>
    <n v="2"/>
    <s v="February"/>
    <n v="66"/>
    <m/>
    <n v="1078.3"/>
    <n v="142.1333333"/>
    <n v="18.3"/>
  </r>
  <r>
    <x v="0"/>
    <x v="0"/>
    <n v="51.044699999999999"/>
    <n v="-114.0719"/>
    <x v="2"/>
    <n v="3"/>
    <s v="March"/>
    <n v="66.5"/>
    <m/>
    <n v="1081.3599999999999"/>
    <n v="144"/>
    <n v="57.1"/>
  </r>
  <r>
    <x v="0"/>
    <x v="0"/>
    <n v="51.044699999999999"/>
    <n v="-114.0719"/>
    <x v="2"/>
    <n v="4"/>
    <s v="April"/>
    <n v="66.3"/>
    <m/>
    <n v="1084.42"/>
    <n v="152.03333330000001"/>
    <n v="48.4"/>
  </r>
  <r>
    <x v="0"/>
    <x v="0"/>
    <n v="51.044699999999999"/>
    <n v="-114.0719"/>
    <x v="2"/>
    <n v="5"/>
    <s v="May"/>
    <n v="66.599999999999994"/>
    <m/>
    <n v="1087.48"/>
    <n v="151"/>
    <n v="61.7"/>
  </r>
  <r>
    <x v="0"/>
    <x v="0"/>
    <n v="51.044699999999999"/>
    <n v="-114.0719"/>
    <x v="2"/>
    <n v="6"/>
    <s v="June"/>
    <n v="66.099999999999994"/>
    <m/>
    <n v="1090.54"/>
    <n v="148.46666669999999"/>
    <n v="83.3"/>
  </r>
  <r>
    <x v="0"/>
    <x v="0"/>
    <n v="51.044699999999999"/>
    <n v="-114.0719"/>
    <x v="2"/>
    <n v="7"/>
    <s v="July"/>
    <n v="65.8"/>
    <m/>
    <n v="1093.5999999999999"/>
    <n v="146.9"/>
    <n v="46"/>
  </r>
  <r>
    <x v="0"/>
    <x v="0"/>
    <n v="51.044699999999999"/>
    <n v="-114.0719"/>
    <x v="2"/>
    <n v="8"/>
    <s v="August"/>
    <n v="65.8"/>
    <m/>
    <n v="1096.6500000000001"/>
    <n v="158.1333333"/>
    <n v="86.4"/>
  </r>
  <r>
    <x v="0"/>
    <x v="0"/>
    <n v="51.044699999999999"/>
    <n v="-114.0719"/>
    <x v="2"/>
    <n v="9"/>
    <s v="September"/>
    <n v="65.400000000000006"/>
    <m/>
    <n v="1099.71"/>
    <n v="157.7333333"/>
    <n v="74"/>
  </r>
  <r>
    <x v="0"/>
    <x v="0"/>
    <n v="51.044699999999999"/>
    <n v="-114.0719"/>
    <x v="2"/>
    <n v="10"/>
    <s v="October"/>
    <n v="65.2"/>
    <m/>
    <n v="1102.77"/>
    <n v="155.03333330000001"/>
    <n v="0.9"/>
  </r>
  <r>
    <x v="0"/>
    <x v="0"/>
    <n v="51.044699999999999"/>
    <n v="-114.0719"/>
    <x v="2"/>
    <n v="11"/>
    <s v="November"/>
    <n v="64.599999999999994"/>
    <m/>
    <n v="1105.83"/>
    <n v="150.9"/>
    <n v="38.200000000000003"/>
  </r>
  <r>
    <x v="0"/>
    <x v="0"/>
    <n v="51.044699999999999"/>
    <n v="-114.0719"/>
    <x v="2"/>
    <n v="12"/>
    <s v="December"/>
    <n v="65.2"/>
    <m/>
    <n v="1108.8900000000001"/>
    <n v="139"/>
    <n v="5.6"/>
  </r>
  <r>
    <x v="1"/>
    <x v="1"/>
    <n v="53.546100000000003"/>
    <n v="-113.49379999999999"/>
    <x v="0"/>
    <n v="1"/>
    <s v="January"/>
    <n v="66.400000000000006"/>
    <n v="150.42857140000001"/>
    <n v="1414.75"/>
    <n v="109.2"/>
    <n v="28.3"/>
  </r>
  <r>
    <x v="1"/>
    <x v="1"/>
    <n v="53.546100000000003"/>
    <n v="-113.49379999999999"/>
    <x v="0"/>
    <n v="2"/>
    <s v="February"/>
    <n v="65.8"/>
    <n v="150.42857140000001"/>
    <n v="1414.75"/>
    <n v="116.2333333"/>
    <n v="14.2"/>
  </r>
  <r>
    <x v="1"/>
    <x v="1"/>
    <n v="53.546100000000003"/>
    <n v="-113.49379999999999"/>
    <x v="0"/>
    <n v="3"/>
    <s v="March"/>
    <n v="65.5"/>
    <n v="150.42857140000001"/>
    <n v="1414.75"/>
    <n v="122.2"/>
    <n v="23.4"/>
  </r>
  <r>
    <x v="1"/>
    <x v="1"/>
    <n v="53.546100000000003"/>
    <n v="-113.49379999999999"/>
    <x v="0"/>
    <n v="4"/>
    <s v="April"/>
    <n v="65.5"/>
    <n v="150.42857140000001"/>
    <n v="1414.75"/>
    <n v="127"/>
    <n v="24.9"/>
  </r>
  <r>
    <x v="1"/>
    <x v="1"/>
    <n v="53.546100000000003"/>
    <n v="-113.49379999999999"/>
    <x v="0"/>
    <n v="5"/>
    <s v="May"/>
    <n v="65.7"/>
    <n v="150.42857140000001"/>
    <n v="1414.75"/>
    <n v="130.1"/>
    <n v="32.700000000000003"/>
  </r>
  <r>
    <x v="1"/>
    <x v="1"/>
    <n v="53.546100000000003"/>
    <n v="-113.49379999999999"/>
    <x v="0"/>
    <n v="6"/>
    <s v="June"/>
    <n v="65.7"/>
    <n v="150.42857140000001"/>
    <n v="1414.75"/>
    <n v="131.9"/>
    <n v="145.80000000000001"/>
  </r>
  <r>
    <x v="1"/>
    <x v="1"/>
    <n v="53.546100000000003"/>
    <n v="-113.49379999999999"/>
    <x v="0"/>
    <n v="7"/>
    <s v="July"/>
    <n v="65.599999999999994"/>
    <n v="150.42857140000001"/>
    <n v="1414.75"/>
    <n v="136.6"/>
    <n v="65.400000000000006"/>
  </r>
  <r>
    <x v="1"/>
    <x v="1"/>
    <n v="53.546100000000003"/>
    <n v="-113.49379999999999"/>
    <x v="0"/>
    <n v="8"/>
    <s v="August"/>
    <n v="65.7"/>
    <n v="150.42857140000001"/>
    <n v="1414.75"/>
    <n v="136.1333333"/>
    <n v="18.899999999999999"/>
  </r>
  <r>
    <x v="1"/>
    <x v="1"/>
    <n v="53.546100000000003"/>
    <n v="-113.49379999999999"/>
    <x v="0"/>
    <n v="9"/>
    <s v="September"/>
    <n v="65.599999999999994"/>
    <n v="150.42857140000001"/>
    <n v="1414.75"/>
    <n v="134.69999999999999"/>
    <n v="15.1"/>
  </r>
  <r>
    <x v="1"/>
    <x v="1"/>
    <n v="53.546100000000003"/>
    <n v="-113.49379999999999"/>
    <x v="0"/>
    <n v="10"/>
    <s v="October"/>
    <n v="65.400000000000006"/>
    <n v="150.42857140000001"/>
    <n v="1414.75"/>
    <n v="144.19999999999999"/>
    <n v="4.0999999999999996"/>
  </r>
  <r>
    <x v="1"/>
    <x v="1"/>
    <n v="53.546100000000003"/>
    <n v="-113.49379999999999"/>
    <x v="0"/>
    <n v="11"/>
    <s v="November"/>
    <n v="65.099999999999994"/>
    <n v="150.42857140000001"/>
    <n v="1414.75"/>
    <n v="142.9"/>
    <n v="32.4"/>
  </r>
  <r>
    <x v="1"/>
    <x v="1"/>
    <n v="53.546100000000003"/>
    <n v="-113.49379999999999"/>
    <x v="0"/>
    <n v="12"/>
    <s v="December"/>
    <n v="65.2"/>
    <n v="154.33333329999999"/>
    <n v="1414.75"/>
    <n v="138.96666669999999"/>
    <n v="13.3"/>
  </r>
  <r>
    <x v="1"/>
    <x v="1"/>
    <n v="53.546100000000003"/>
    <n v="-113.49379999999999"/>
    <x v="1"/>
    <n v="1"/>
    <s v="January"/>
    <n v="66"/>
    <n v="154.33333329999999"/>
    <n v="1440.63"/>
    <n v="142.1"/>
    <n v="3.6"/>
  </r>
  <r>
    <x v="1"/>
    <x v="1"/>
    <n v="53.546100000000003"/>
    <n v="-113.49379999999999"/>
    <x v="1"/>
    <n v="2"/>
    <s v="February"/>
    <n v="66.599999999999994"/>
    <n v="154.33333329999999"/>
    <n v="1440.63"/>
    <n v="150.8666667"/>
    <n v="12"/>
  </r>
  <r>
    <x v="1"/>
    <x v="1"/>
    <n v="53.546100000000003"/>
    <n v="-113.49379999999999"/>
    <x v="1"/>
    <n v="3"/>
    <s v="March"/>
    <n v="66.8"/>
    <n v="154.33333329999999"/>
    <n v="1440.63"/>
    <n v="174"/>
    <n v="2.7"/>
  </r>
  <r>
    <x v="1"/>
    <x v="1"/>
    <n v="53.546100000000003"/>
    <n v="-113.49379999999999"/>
    <x v="1"/>
    <n v="4"/>
    <s v="April"/>
    <n v="66.7"/>
    <n v="154.33333329999999"/>
    <n v="1440.63"/>
    <n v="165.16666670000001"/>
    <n v="15.7"/>
  </r>
  <r>
    <x v="1"/>
    <x v="1"/>
    <n v="53.546100000000003"/>
    <n v="-113.49379999999999"/>
    <x v="1"/>
    <n v="5"/>
    <s v="May"/>
    <n v="66.599999999999994"/>
    <n v="154.33333329999999"/>
    <n v="1440.63"/>
    <n v="177.53333330000001"/>
    <n v="20.7"/>
  </r>
  <r>
    <x v="1"/>
    <x v="1"/>
    <n v="53.546100000000003"/>
    <n v="-113.49379999999999"/>
    <x v="1"/>
    <n v="6"/>
    <s v="June"/>
    <n v="66.400000000000006"/>
    <n v="154.33333329999999"/>
    <n v="1440.63"/>
    <n v="195.7"/>
    <n v="139"/>
  </r>
  <r>
    <x v="1"/>
    <x v="1"/>
    <n v="53.546100000000003"/>
    <n v="-113.49379999999999"/>
    <x v="1"/>
    <n v="7"/>
    <s v="July"/>
    <n v="66.2"/>
    <n v="154.33333329999999"/>
    <n v="1440.63"/>
    <n v="186.33333329999999"/>
    <n v="128.80000000000001"/>
  </r>
  <r>
    <x v="1"/>
    <x v="1"/>
    <n v="53.546100000000003"/>
    <n v="-113.49379999999999"/>
    <x v="1"/>
    <n v="8"/>
    <s v="August"/>
    <n v="65.8"/>
    <n v="154.33333329999999"/>
    <n v="1440.63"/>
    <n v="160.2333333"/>
    <n v="81.599999999999994"/>
  </r>
  <r>
    <x v="1"/>
    <x v="1"/>
    <n v="53.546100000000003"/>
    <n v="-113.49379999999999"/>
    <x v="1"/>
    <n v="9"/>
    <s v="September"/>
    <n v="65.599999999999994"/>
    <n v="154.33333329999999"/>
    <n v="1440.63"/>
    <n v="156.06666670000001"/>
    <n v="18.100000000000001"/>
  </r>
  <r>
    <x v="1"/>
    <x v="1"/>
    <n v="53.546100000000003"/>
    <n v="-113.49379999999999"/>
    <x v="1"/>
    <n v="10"/>
    <s v="October"/>
    <n v="65.400000000000006"/>
    <n v="154.33333329999999"/>
    <n v="1440.63"/>
    <n v="178.16666670000001"/>
    <n v="4.8"/>
  </r>
  <r>
    <x v="1"/>
    <x v="1"/>
    <n v="53.546100000000003"/>
    <n v="-113.49379999999999"/>
    <x v="1"/>
    <n v="11"/>
    <s v="November"/>
    <n v="65.2"/>
    <n v="154.33333329999999"/>
    <n v="1440.63"/>
    <n v="169.53333330000001"/>
    <n v="0"/>
  </r>
  <r>
    <x v="1"/>
    <x v="1"/>
    <n v="53.546100000000003"/>
    <n v="-113.49379999999999"/>
    <x v="1"/>
    <n v="12"/>
    <s v="December"/>
    <n v="64.7"/>
    <n v="154.33333329999999"/>
    <n v="1440.63"/>
    <n v="152.96666669999999"/>
    <n v="5.2"/>
  </r>
  <r>
    <x v="1"/>
    <x v="1"/>
    <n v="53.546100000000003"/>
    <n v="-113.49379999999999"/>
    <x v="2"/>
    <n v="1"/>
    <s v="January"/>
    <n v="64"/>
    <m/>
    <n v="1447.94"/>
    <n v="149.3666667"/>
    <n v="11.7"/>
  </r>
  <r>
    <x v="1"/>
    <x v="1"/>
    <n v="53.546100000000003"/>
    <n v="-113.49379999999999"/>
    <x v="2"/>
    <n v="2"/>
    <s v="February"/>
    <n v="64.2"/>
    <m/>
    <n v="1449.56"/>
    <n v="139.96666669999999"/>
    <n v="21.3"/>
  </r>
  <r>
    <x v="1"/>
    <x v="1"/>
    <n v="53.546100000000003"/>
    <n v="-113.49379999999999"/>
    <x v="2"/>
    <n v="3"/>
    <s v="March"/>
    <n v="63.8"/>
    <m/>
    <n v="1451.18"/>
    <n v="141"/>
    <n v="14.5"/>
  </r>
  <r>
    <x v="1"/>
    <x v="1"/>
    <n v="53.546100000000003"/>
    <n v="-113.49379999999999"/>
    <x v="2"/>
    <n v="4"/>
    <s v="April"/>
    <n v="63.9"/>
    <m/>
    <n v="1452.8"/>
    <n v="148.83333329999999"/>
    <n v="19"/>
  </r>
  <r>
    <x v="1"/>
    <x v="1"/>
    <n v="53.546100000000003"/>
    <n v="-113.49379999999999"/>
    <x v="2"/>
    <n v="5"/>
    <s v="May"/>
    <n v="63.3"/>
    <m/>
    <n v="1454.43"/>
    <n v="145.53333330000001"/>
    <n v="62.6"/>
  </r>
  <r>
    <x v="1"/>
    <x v="1"/>
    <n v="53.546100000000003"/>
    <n v="-113.49379999999999"/>
    <x v="2"/>
    <n v="6"/>
    <s v="June"/>
    <n v="63"/>
    <m/>
    <n v="1456.05"/>
    <n v="144.2333333"/>
    <n v="54.3"/>
  </r>
  <r>
    <x v="1"/>
    <x v="1"/>
    <n v="53.546100000000003"/>
    <n v="-113.49379999999999"/>
    <x v="2"/>
    <n v="7"/>
    <s v="July"/>
    <n v="62.5"/>
    <m/>
    <n v="1457.67"/>
    <n v="142.69999999999999"/>
    <n v="33.4"/>
  </r>
  <r>
    <x v="1"/>
    <x v="1"/>
    <n v="53.546100000000003"/>
    <n v="-113.49379999999999"/>
    <x v="2"/>
    <n v="8"/>
    <s v="August"/>
    <n v="62.2"/>
    <m/>
    <n v="1459.29"/>
    <n v="153.3666667"/>
    <n v="75.5"/>
  </r>
  <r>
    <x v="1"/>
    <x v="1"/>
    <n v="53.546100000000003"/>
    <n v="-113.49379999999999"/>
    <x v="2"/>
    <n v="9"/>
    <s v="September"/>
    <n v="62.2"/>
    <m/>
    <n v="1460.91"/>
    <n v="156.03333330000001"/>
    <n v="27.7"/>
  </r>
  <r>
    <x v="1"/>
    <x v="1"/>
    <n v="53.546100000000003"/>
    <n v="-113.49379999999999"/>
    <x v="2"/>
    <n v="10"/>
    <s v="October"/>
    <n v="62.6"/>
    <m/>
    <n v="1462.53"/>
    <n v="154.1333333"/>
    <n v="12.3"/>
  </r>
  <r>
    <x v="1"/>
    <x v="1"/>
    <n v="53.546100000000003"/>
    <n v="-113.49379999999999"/>
    <x v="2"/>
    <n v="11"/>
    <s v="November"/>
    <n v="63.1"/>
    <m/>
    <n v="1464.15"/>
    <n v="151.56666670000001"/>
    <n v="21"/>
  </r>
  <r>
    <x v="1"/>
    <x v="1"/>
    <n v="53.546100000000003"/>
    <n v="-113.49379999999999"/>
    <x v="2"/>
    <n v="12"/>
    <s v="December"/>
    <n v="63.6"/>
    <m/>
    <n v="1465.77"/>
    <n v="139.66666670000001"/>
    <n v="19.5"/>
  </r>
  <r>
    <x v="2"/>
    <x v="2"/>
    <n v="44.648800000000001"/>
    <n v="-63.575200000000002"/>
    <x v="0"/>
    <n v="1"/>
    <s v="January"/>
    <n v="63.2"/>
    <n v="143.1571429"/>
    <n v="1466.19"/>
    <n v="106.77500000000001"/>
    <n v="0"/>
  </r>
  <r>
    <x v="2"/>
    <x v="2"/>
    <n v="44.648800000000001"/>
    <n v="-63.575200000000002"/>
    <x v="0"/>
    <n v="2"/>
    <s v="February"/>
    <n v="63.4"/>
    <n v="143.1571429"/>
    <n v="1466.19"/>
    <n v="113.2"/>
    <n v="0"/>
  </r>
  <r>
    <x v="2"/>
    <x v="2"/>
    <n v="44.648800000000001"/>
    <n v="-63.575200000000002"/>
    <x v="0"/>
    <n v="3"/>
    <s v="March"/>
    <n v="63.4"/>
    <n v="143.1571429"/>
    <n v="1466.19"/>
    <n v="121.47499999999999"/>
    <n v="0"/>
  </r>
  <r>
    <x v="2"/>
    <x v="2"/>
    <n v="44.648800000000001"/>
    <n v="-63.575200000000002"/>
    <x v="0"/>
    <n v="4"/>
    <s v="April"/>
    <n v="63.8"/>
    <n v="143.1571429"/>
    <n v="1466.19"/>
    <n v="120.925"/>
    <n v="0"/>
  </r>
  <r>
    <x v="2"/>
    <x v="2"/>
    <n v="44.648800000000001"/>
    <n v="-63.575200000000002"/>
    <x v="0"/>
    <n v="5"/>
    <s v="May"/>
    <n v="64.099999999999994"/>
    <n v="143.1571429"/>
    <n v="1466.19"/>
    <n v="123.1"/>
    <n v="0"/>
  </r>
  <r>
    <x v="2"/>
    <x v="2"/>
    <n v="44.648800000000001"/>
    <n v="-63.575200000000002"/>
    <x v="0"/>
    <n v="6"/>
    <s v="June"/>
    <n v="64.400000000000006"/>
    <n v="143.1571429"/>
    <n v="1466.19"/>
    <n v="124.7"/>
    <n v="0"/>
  </r>
  <r>
    <x v="2"/>
    <x v="2"/>
    <n v="44.648800000000001"/>
    <n v="-63.575200000000002"/>
    <x v="0"/>
    <n v="7"/>
    <s v="July"/>
    <n v="64.3"/>
    <n v="143.1571429"/>
    <n v="1466.19"/>
    <n v="128.92500000000001"/>
    <n v="0"/>
  </r>
  <r>
    <x v="2"/>
    <x v="2"/>
    <n v="44.648800000000001"/>
    <n v="-63.575200000000002"/>
    <x v="0"/>
    <n v="8"/>
    <s v="August"/>
    <n v="64.3"/>
    <n v="143.1571429"/>
    <n v="1466.19"/>
    <n v="128.17500000000001"/>
    <n v="0"/>
  </r>
  <r>
    <x v="2"/>
    <x v="2"/>
    <n v="44.648800000000001"/>
    <n v="-63.575200000000002"/>
    <x v="0"/>
    <n v="9"/>
    <s v="September"/>
    <n v="64.5"/>
    <n v="143.1571429"/>
    <n v="1466.19"/>
    <n v="129.80000000000001"/>
    <n v="0"/>
  </r>
  <r>
    <x v="2"/>
    <x v="2"/>
    <n v="44.648800000000001"/>
    <n v="-63.575200000000002"/>
    <x v="0"/>
    <n v="10"/>
    <s v="October"/>
    <n v="64.8"/>
    <n v="143.1571429"/>
    <n v="1466.19"/>
    <n v="138.35"/>
    <n v="0"/>
  </r>
  <r>
    <x v="2"/>
    <x v="2"/>
    <n v="44.648800000000001"/>
    <n v="-63.575200000000002"/>
    <x v="0"/>
    <n v="11"/>
    <s v="November"/>
    <n v="65.3"/>
    <n v="143.1571429"/>
    <n v="1466.19"/>
    <n v="139.125"/>
    <n v="0"/>
  </r>
  <r>
    <x v="2"/>
    <x v="2"/>
    <n v="44.648800000000001"/>
    <n v="-63.575200000000002"/>
    <x v="0"/>
    <n v="12"/>
    <s v="December"/>
    <n v="65.5"/>
    <n v="143.1571429"/>
    <n v="1466.19"/>
    <n v="131.92500000000001"/>
    <n v="0"/>
  </r>
  <r>
    <x v="2"/>
    <x v="2"/>
    <n v="44.648800000000001"/>
    <n v="-63.575200000000002"/>
    <x v="1"/>
    <n v="1"/>
    <s v="January"/>
    <n v="65.7"/>
    <n v="148.17500000000001"/>
    <n v="1464.56"/>
    <n v="142.52500000000001"/>
    <n v="0"/>
  </r>
  <r>
    <x v="2"/>
    <x v="2"/>
    <n v="44.648800000000001"/>
    <n v="-63.575200000000002"/>
    <x v="1"/>
    <n v="2"/>
    <s v="February"/>
    <n v="65.5"/>
    <n v="148.17500000000001"/>
    <n v="1464.56"/>
    <n v="155.30000000000001"/>
    <n v="0"/>
  </r>
  <r>
    <x v="2"/>
    <x v="2"/>
    <n v="44.648800000000001"/>
    <n v="-63.575200000000002"/>
    <x v="1"/>
    <n v="3"/>
    <s v="March"/>
    <n v="65.400000000000006"/>
    <n v="148.17500000000001"/>
    <n v="1464.56"/>
    <n v="181.22499999999999"/>
    <n v="0"/>
  </r>
  <r>
    <x v="2"/>
    <x v="2"/>
    <n v="44.648800000000001"/>
    <n v="-63.575200000000002"/>
    <x v="1"/>
    <n v="4"/>
    <s v="April"/>
    <n v="65.2"/>
    <n v="148.17500000000001"/>
    <n v="1464.56"/>
    <n v="183.92500000000001"/>
    <n v="0"/>
  </r>
  <r>
    <x v="2"/>
    <x v="2"/>
    <n v="44.648800000000001"/>
    <n v="-63.575200000000002"/>
    <x v="1"/>
    <n v="5"/>
    <s v="May"/>
    <n v="64.7"/>
    <n v="148.17500000000001"/>
    <n v="1464.56"/>
    <n v="210.65"/>
    <n v="0"/>
  </r>
  <r>
    <x v="2"/>
    <x v="2"/>
    <n v="44.648800000000001"/>
    <n v="-63.575200000000002"/>
    <x v="1"/>
    <n v="6"/>
    <s v="June"/>
    <n v="64.3"/>
    <n v="148.17500000000001"/>
    <n v="1464.56"/>
    <n v="207.17500000000001"/>
    <n v="0"/>
  </r>
  <r>
    <x v="2"/>
    <x v="2"/>
    <n v="44.648800000000001"/>
    <n v="-63.575200000000002"/>
    <x v="1"/>
    <n v="7"/>
    <s v="July"/>
    <n v="63.8"/>
    <n v="148.17500000000001"/>
    <n v="1464.56"/>
    <n v="190.02500000000001"/>
    <n v="0"/>
  </r>
  <r>
    <x v="2"/>
    <x v="2"/>
    <n v="44.648800000000001"/>
    <n v="-63.575200000000002"/>
    <x v="1"/>
    <n v="8"/>
    <s v="August"/>
    <n v="63.8"/>
    <n v="148.17500000000001"/>
    <n v="1464.56"/>
    <n v="176.9"/>
    <n v="0"/>
  </r>
  <r>
    <x v="2"/>
    <x v="2"/>
    <n v="44.648800000000001"/>
    <n v="-63.575200000000002"/>
    <x v="1"/>
    <n v="9"/>
    <s v="September"/>
    <n v="63.6"/>
    <n v="148.17500000000001"/>
    <n v="1464.56"/>
    <n v="168.3"/>
    <n v="0"/>
  </r>
  <r>
    <x v="2"/>
    <x v="2"/>
    <n v="44.648800000000001"/>
    <n v="-63.575200000000002"/>
    <x v="1"/>
    <n v="10"/>
    <s v="October"/>
    <n v="64.099999999999994"/>
    <n v="148.17500000000001"/>
    <n v="1464.56"/>
    <n v="193.05"/>
    <n v="0"/>
  </r>
  <r>
    <x v="2"/>
    <x v="2"/>
    <n v="44.648800000000001"/>
    <n v="-63.575200000000002"/>
    <x v="1"/>
    <n v="11"/>
    <s v="November"/>
    <n v="64.5"/>
    <n v="148.17500000000001"/>
    <n v="1464.56"/>
    <n v="206.17500000000001"/>
    <n v="0"/>
  </r>
  <r>
    <x v="2"/>
    <x v="2"/>
    <n v="44.648800000000001"/>
    <n v="-63.575200000000002"/>
    <x v="1"/>
    <n v="12"/>
    <s v="December"/>
    <n v="65.3"/>
    <n v="148.17500000000001"/>
    <n v="1464.56"/>
    <n v="175.35"/>
    <n v="0"/>
  </r>
  <r>
    <x v="2"/>
    <x v="2"/>
    <n v="44.648800000000001"/>
    <n v="-63.575200000000002"/>
    <x v="2"/>
    <n v="1"/>
    <s v="January"/>
    <n v="65.599999999999994"/>
    <m/>
    <n v="1464.1"/>
    <n v="169.625"/>
    <n v="0"/>
  </r>
  <r>
    <x v="2"/>
    <x v="2"/>
    <n v="44.648800000000001"/>
    <n v="-63.575200000000002"/>
    <x v="2"/>
    <n v="2"/>
    <s v="February"/>
    <n v="65.900000000000006"/>
    <m/>
    <n v="1464"/>
    <n v="174.52500000000001"/>
    <n v="0"/>
  </r>
  <r>
    <x v="2"/>
    <x v="2"/>
    <n v="44.648800000000001"/>
    <n v="-63.575200000000002"/>
    <x v="2"/>
    <n v="3"/>
    <s v="March"/>
    <n v="66.099999999999994"/>
    <m/>
    <n v="1463.9"/>
    <n v="158.6"/>
    <n v="0"/>
  </r>
  <r>
    <x v="2"/>
    <x v="2"/>
    <n v="44.648800000000001"/>
    <n v="-63.575200000000002"/>
    <x v="2"/>
    <n v="4"/>
    <s v="April"/>
    <n v="66.099999999999994"/>
    <m/>
    <n v="1463.79"/>
    <n v="157.72499999999999"/>
    <n v="0"/>
  </r>
  <r>
    <x v="2"/>
    <x v="2"/>
    <n v="44.648800000000001"/>
    <n v="-63.575200000000002"/>
    <x v="2"/>
    <n v="5"/>
    <s v="May"/>
    <n v="66.2"/>
    <m/>
    <n v="1463.69"/>
    <n v="143.875"/>
    <n v="0"/>
  </r>
  <r>
    <x v="2"/>
    <x v="2"/>
    <n v="44.648800000000001"/>
    <n v="-63.575200000000002"/>
    <x v="2"/>
    <n v="6"/>
    <s v="June"/>
    <n v="65.900000000000006"/>
    <m/>
    <n v="1463.59"/>
    <n v="144.97499999999999"/>
    <n v="0"/>
  </r>
  <r>
    <x v="2"/>
    <x v="2"/>
    <n v="44.648800000000001"/>
    <n v="-63.575200000000002"/>
    <x v="2"/>
    <n v="7"/>
    <s v="July"/>
    <n v="65"/>
    <m/>
    <n v="1463.49"/>
    <n v="168.72499999999999"/>
    <n v="0"/>
  </r>
  <r>
    <x v="2"/>
    <x v="2"/>
    <n v="44.648800000000001"/>
    <n v="-63.575200000000002"/>
    <x v="2"/>
    <n v="8"/>
    <s v="August"/>
    <n v="64.7"/>
    <m/>
    <n v="1463.38"/>
    <n v="185.35"/>
    <n v="0"/>
  </r>
  <r>
    <x v="2"/>
    <x v="2"/>
    <n v="44.648800000000001"/>
    <n v="-63.575200000000002"/>
    <x v="2"/>
    <n v="9"/>
    <s v="September"/>
    <n v="64.400000000000006"/>
    <m/>
    <n v="1463.28"/>
    <n v="191.22499999999999"/>
    <n v="0"/>
  </r>
  <r>
    <x v="2"/>
    <x v="2"/>
    <n v="44.648800000000001"/>
    <n v="-63.575200000000002"/>
    <x v="2"/>
    <n v="10"/>
    <s v="October"/>
    <n v="64.599999999999994"/>
    <m/>
    <n v="1463.18"/>
    <n v="182.52500000000001"/>
    <n v="0"/>
  </r>
  <r>
    <x v="2"/>
    <x v="2"/>
    <n v="44.648800000000001"/>
    <n v="-63.575200000000002"/>
    <x v="2"/>
    <n v="11"/>
    <s v="November"/>
    <n v="64.400000000000006"/>
    <m/>
    <n v="1463.08"/>
    <n v="176.32499999999999"/>
    <n v="0"/>
  </r>
  <r>
    <x v="2"/>
    <x v="2"/>
    <n v="44.648800000000001"/>
    <n v="-63.575200000000002"/>
    <x v="2"/>
    <n v="12"/>
    <s v="December"/>
    <n v="64.3"/>
    <m/>
    <n v="1462.98"/>
    <n v="168.375"/>
    <n v="0"/>
  </r>
  <r>
    <x v="3"/>
    <x v="3"/>
    <n v="43.464300000000001"/>
    <n v="-80.520399999999995"/>
    <x v="0"/>
    <n v="1"/>
    <s v="January"/>
    <n v="124.9"/>
    <n v="145.35714290000001"/>
    <n v="787.28"/>
    <n v="120.95"/>
    <n v="40.200000000000003"/>
  </r>
  <r>
    <x v="3"/>
    <x v="3"/>
    <n v="43.464300000000001"/>
    <n v="-80.520399999999995"/>
    <x v="0"/>
    <n v="2"/>
    <s v="February"/>
    <n v="126.5"/>
    <n v="145.35714290000001"/>
    <n v="787.28"/>
    <n v="126.05"/>
    <n v="58.9"/>
  </r>
  <r>
    <x v="3"/>
    <x v="3"/>
    <n v="43.464300000000001"/>
    <n v="-80.520399999999995"/>
    <x v="0"/>
    <n v="3"/>
    <s v="March"/>
    <n v="128.5"/>
    <n v="145.35714290000001"/>
    <n v="787.28"/>
    <n v="130.05000000000001"/>
    <n v="58"/>
  </r>
  <r>
    <x v="3"/>
    <x v="3"/>
    <n v="43.464300000000001"/>
    <n v="-80.520399999999995"/>
    <x v="0"/>
    <n v="4"/>
    <s v="April"/>
    <n v="131.30000000000001"/>
    <n v="145.35714290000001"/>
    <n v="787.28"/>
    <n v="133.65"/>
    <n v="83.6"/>
  </r>
  <r>
    <x v="3"/>
    <x v="3"/>
    <n v="43.464300000000001"/>
    <n v="-80.520399999999995"/>
    <x v="0"/>
    <n v="5"/>
    <s v="May"/>
    <n v="131.80000000000001"/>
    <n v="145.35714290000001"/>
    <n v="787.28"/>
    <n v="135.57499999999999"/>
    <n v="91"/>
  </r>
  <r>
    <x v="3"/>
    <x v="3"/>
    <n v="43.464300000000001"/>
    <n v="-80.520399999999995"/>
    <x v="0"/>
    <n v="6"/>
    <s v="June"/>
    <n v="131.1"/>
    <n v="145.35714290000001"/>
    <n v="787.28"/>
    <n v="137.19999999999999"/>
    <n v="103.3"/>
  </r>
  <r>
    <x v="3"/>
    <x v="3"/>
    <n v="43.464300000000001"/>
    <n v="-80.520399999999995"/>
    <x v="0"/>
    <n v="7"/>
    <s v="July"/>
    <n v="129.80000000000001"/>
    <n v="145.35714290000001"/>
    <n v="787.28"/>
    <n v="139.75"/>
    <n v="89"/>
  </r>
  <r>
    <x v="3"/>
    <x v="3"/>
    <n v="43.464300000000001"/>
    <n v="-80.520399999999995"/>
    <x v="0"/>
    <n v="8"/>
    <s v="August"/>
    <n v="129.69999999999999"/>
    <n v="145.35714290000001"/>
    <n v="787.28"/>
    <n v="140.15"/>
    <n v="189.1"/>
  </r>
  <r>
    <x v="3"/>
    <x v="3"/>
    <n v="43.464300000000001"/>
    <n v="-80.520399999999995"/>
    <x v="0"/>
    <n v="9"/>
    <s v="September"/>
    <n v="130.1"/>
    <n v="145.35714290000001"/>
    <n v="787.28"/>
    <n v="142.25"/>
    <n v="65.3"/>
  </r>
  <r>
    <x v="3"/>
    <x v="3"/>
    <n v="43.464300000000001"/>
    <n v="-80.520399999999995"/>
    <x v="0"/>
    <n v="10"/>
    <s v="October"/>
    <n v="129.69999999999999"/>
    <n v="145.35714290000001"/>
    <n v="787.28"/>
    <n v="152.27500000000001"/>
    <n v="29.6"/>
  </r>
  <r>
    <x v="3"/>
    <x v="3"/>
    <n v="43.464300000000001"/>
    <n v="-80.520399999999995"/>
    <x v="0"/>
    <n v="11"/>
    <s v="November"/>
    <n v="130.5"/>
    <n v="145.35714290000001"/>
    <n v="787.28"/>
    <n v="152.97499999999999"/>
    <n v="64.3"/>
  </r>
  <r>
    <x v="3"/>
    <x v="3"/>
    <n v="43.464300000000001"/>
    <n v="-80.520399999999995"/>
    <x v="0"/>
    <n v="12"/>
    <s v="December"/>
    <n v="130.30000000000001"/>
    <n v="145.35714290000001"/>
    <n v="787.28"/>
    <n v="149.77500000000001"/>
    <n v="105.7"/>
  </r>
  <r>
    <x v="3"/>
    <x v="3"/>
    <n v="43.464300000000001"/>
    <n v="-80.520399999999995"/>
    <x v="1"/>
    <n v="1"/>
    <s v="January"/>
    <n v="130.19999999999999"/>
    <n v="149.875"/>
    <n v="792.83"/>
    <n v="157.5"/>
    <n v="78"/>
  </r>
  <r>
    <x v="3"/>
    <x v="3"/>
    <n v="43.464300000000001"/>
    <n v="-80.520399999999995"/>
    <x v="1"/>
    <n v="2"/>
    <s v="February"/>
    <n v="128.80000000000001"/>
    <n v="149.875"/>
    <n v="792.83"/>
    <n v="168.32499999999999"/>
    <n v="66.400000000000006"/>
  </r>
  <r>
    <x v="3"/>
    <x v="3"/>
    <n v="43.464300000000001"/>
    <n v="-80.520399999999995"/>
    <x v="1"/>
    <n v="3"/>
    <s v="March"/>
    <n v="128.6"/>
    <n v="149.875"/>
    <n v="792.83"/>
    <n v="194.42500000000001"/>
    <n v="61.4"/>
  </r>
  <r>
    <x v="3"/>
    <x v="3"/>
    <n v="43.464300000000001"/>
    <n v="-80.520399999999995"/>
    <x v="1"/>
    <n v="4"/>
    <s v="April"/>
    <n v="129.4"/>
    <n v="149.875"/>
    <n v="792.83"/>
    <n v="199.72499999999999"/>
    <n v="107.9"/>
  </r>
  <r>
    <x v="3"/>
    <x v="3"/>
    <n v="43.464300000000001"/>
    <n v="-80.520399999999995"/>
    <x v="1"/>
    <n v="5"/>
    <s v="May"/>
    <n v="130"/>
    <n v="149.875"/>
    <n v="792.83"/>
    <n v="227.27500000000001"/>
    <n v="53.9"/>
  </r>
  <r>
    <x v="3"/>
    <x v="3"/>
    <n v="43.464300000000001"/>
    <n v="-80.520399999999995"/>
    <x v="1"/>
    <n v="6"/>
    <s v="June"/>
    <n v="130.5"/>
    <n v="149.875"/>
    <n v="792.83"/>
    <n v="226.3"/>
    <n v="82.8"/>
  </r>
  <r>
    <x v="3"/>
    <x v="3"/>
    <n v="43.464300000000001"/>
    <n v="-80.520399999999995"/>
    <x v="1"/>
    <n v="7"/>
    <s v="July"/>
    <n v="130.30000000000001"/>
    <n v="149.875"/>
    <n v="792.83"/>
    <n v="203.57499999999999"/>
    <n v="142.4"/>
  </r>
  <r>
    <x v="3"/>
    <x v="3"/>
    <n v="43.464300000000001"/>
    <n v="-80.520399999999995"/>
    <x v="1"/>
    <n v="8"/>
    <s v="August"/>
    <n v="130.80000000000001"/>
    <n v="149.875"/>
    <n v="792.83"/>
    <n v="189.625"/>
    <n v="110.8"/>
  </r>
  <r>
    <x v="3"/>
    <x v="3"/>
    <n v="43.464300000000001"/>
    <n v="-80.520399999999995"/>
    <x v="1"/>
    <n v="9"/>
    <s v="September"/>
    <n v="131.19999999999999"/>
    <n v="149.875"/>
    <n v="792.83"/>
    <n v="181.77500000000001"/>
    <n v="24.7"/>
  </r>
  <r>
    <x v="3"/>
    <x v="3"/>
    <n v="43.464300000000001"/>
    <n v="-80.520399999999995"/>
    <x v="1"/>
    <n v="10"/>
    <s v="October"/>
    <n v="131.9"/>
    <n v="149.875"/>
    <n v="792.83"/>
    <n v="204.47499999999999"/>
    <n v="78.400000000000006"/>
  </r>
  <r>
    <x v="3"/>
    <x v="3"/>
    <n v="43.464300000000001"/>
    <n v="-80.520399999999995"/>
    <x v="1"/>
    <n v="11"/>
    <s v="November"/>
    <n v="132.1"/>
    <n v="149.875"/>
    <n v="792.83"/>
    <n v="211.375"/>
    <n v="28.7"/>
  </r>
  <r>
    <x v="3"/>
    <x v="3"/>
    <n v="43.464300000000001"/>
    <n v="-80.520399999999995"/>
    <x v="1"/>
    <n v="12"/>
    <s v="December"/>
    <n v="131.30000000000001"/>
    <n v="149.875"/>
    <m/>
    <n v="190.07499999999999"/>
    <n v="90.5"/>
  </r>
  <r>
    <x v="3"/>
    <x v="3"/>
    <n v="43.464300000000001"/>
    <n v="-80.520399999999995"/>
    <x v="2"/>
    <n v="1"/>
    <s v="January"/>
    <n v="131.19999999999999"/>
    <m/>
    <n v="794.4"/>
    <n v="189.35"/>
    <n v="52"/>
  </r>
  <r>
    <x v="3"/>
    <x v="3"/>
    <n v="43.464300000000001"/>
    <n v="-80.520399999999995"/>
    <x v="2"/>
    <n v="2"/>
    <s v="February"/>
    <n v="131.30000000000001"/>
    <m/>
    <n v="794.75"/>
    <n v="176.82499999999999"/>
    <n v="16"/>
  </r>
  <r>
    <x v="3"/>
    <x v="3"/>
    <n v="43.464300000000001"/>
    <n v="-80.520399999999995"/>
    <x v="2"/>
    <n v="3"/>
    <s v="March"/>
    <n v="131.19999999999999"/>
    <m/>
    <n v="795.09"/>
    <n v="174.52500000000001"/>
    <n v="39.4"/>
  </r>
  <r>
    <x v="3"/>
    <x v="3"/>
    <n v="43.464300000000001"/>
    <n v="-80.520399999999995"/>
    <x v="2"/>
    <n v="4"/>
    <s v="April"/>
    <n v="129.80000000000001"/>
    <m/>
    <n v="795.44"/>
    <n v="178"/>
    <n v="107.8"/>
  </r>
  <r>
    <x v="3"/>
    <x v="3"/>
    <n v="43.464300000000001"/>
    <n v="-80.520399999999995"/>
    <x v="2"/>
    <n v="5"/>
    <s v="May"/>
    <n v="128.19999999999999"/>
    <m/>
    <n v="795.79"/>
    <n v="170.65"/>
    <n v="98.1"/>
  </r>
  <r>
    <x v="3"/>
    <x v="3"/>
    <n v="43.464300000000001"/>
    <n v="-80.520399999999995"/>
    <x v="2"/>
    <n v="6"/>
    <s v="June"/>
    <n v="127.4"/>
    <m/>
    <n v="796.14"/>
    <n v="167.95"/>
    <n v="149.5"/>
  </r>
  <r>
    <x v="3"/>
    <x v="3"/>
    <n v="43.464300000000001"/>
    <n v="-80.520399999999995"/>
    <x v="2"/>
    <n v="7"/>
    <s v="July"/>
    <n v="127.2"/>
    <m/>
    <n v="796.48"/>
    <n v="169"/>
    <n v="154"/>
  </r>
  <r>
    <x v="3"/>
    <x v="3"/>
    <n v="43.464300000000001"/>
    <n v="-80.520399999999995"/>
    <x v="2"/>
    <n v="8"/>
    <s v="August"/>
    <n v="127.4"/>
    <m/>
    <n v="796.83"/>
    <n v="179.375"/>
    <n v="101.9"/>
  </r>
  <r>
    <x v="3"/>
    <x v="3"/>
    <n v="43.464300000000001"/>
    <n v="-80.520399999999995"/>
    <x v="2"/>
    <n v="9"/>
    <s v="September"/>
    <n v="127.7"/>
    <m/>
    <n v="797.18"/>
    <n v="184.8"/>
    <n v="44.3"/>
  </r>
  <r>
    <x v="3"/>
    <x v="3"/>
    <n v="43.464300000000001"/>
    <n v="-80.520399999999995"/>
    <x v="2"/>
    <n v="10"/>
    <s v="October"/>
    <n v="127.8"/>
    <m/>
    <n v="797.53"/>
    <n v="179.7"/>
    <n v="37.9"/>
  </r>
  <r>
    <x v="3"/>
    <x v="3"/>
    <n v="43.464300000000001"/>
    <n v="-80.520399999999995"/>
    <x v="2"/>
    <n v="11"/>
    <s v="November"/>
    <n v="127.8"/>
    <m/>
    <n v="797.87"/>
    <n v="177.75"/>
    <n v="52.1"/>
  </r>
  <r>
    <x v="3"/>
    <x v="3"/>
    <n v="43.464300000000001"/>
    <n v="-80.520399999999995"/>
    <x v="2"/>
    <n v="12"/>
    <s v="December"/>
    <n v="127.9"/>
    <m/>
    <n v="792.83"/>
    <n v="169.95"/>
    <n v="78.8"/>
  </r>
  <r>
    <x v="4"/>
    <x v="4"/>
    <n v="49.895099999999999"/>
    <n v="-97.138400000000004"/>
    <x v="0"/>
    <n v="1"/>
    <s v="January"/>
    <n v="63.9"/>
    <n v="145.64285709999999"/>
    <n v="897.73"/>
    <n v="120.75"/>
    <n v="43"/>
  </r>
  <r>
    <x v="4"/>
    <x v="4"/>
    <n v="49.895099999999999"/>
    <n v="-97.138400000000004"/>
    <x v="0"/>
    <n v="2"/>
    <s v="February"/>
    <n v="63.7"/>
    <n v="145.64285709999999"/>
    <n v="897.73"/>
    <n v="125.875"/>
    <n v="82.6"/>
  </r>
  <r>
    <x v="4"/>
    <x v="4"/>
    <n v="49.895099999999999"/>
    <n v="-97.138400000000004"/>
    <x v="0"/>
    <n v="3"/>
    <s v="March"/>
    <n v="63.3"/>
    <n v="145.64285709999999"/>
    <n v="897.73"/>
    <n v="131.07499999999999"/>
    <n v="59"/>
  </r>
  <r>
    <x v="4"/>
    <x v="4"/>
    <n v="49.895099999999999"/>
    <n v="-97.138400000000004"/>
    <x v="0"/>
    <n v="4"/>
    <s v="April"/>
    <n v="63.7"/>
    <n v="145.64285709999999"/>
    <n v="897.73"/>
    <n v="133.375"/>
    <n v="50"/>
  </r>
  <r>
    <x v="4"/>
    <x v="4"/>
    <n v="49.895099999999999"/>
    <n v="-97.138400000000004"/>
    <x v="0"/>
    <n v="5"/>
    <s v="May"/>
    <n v="63.6"/>
    <n v="145.64285709999999"/>
    <n v="897.73"/>
    <n v="136.875"/>
    <n v="46.8"/>
  </r>
  <r>
    <x v="4"/>
    <x v="4"/>
    <n v="49.895099999999999"/>
    <n v="-97.138400000000004"/>
    <x v="0"/>
    <n v="6"/>
    <s v="June"/>
    <n v="63.5"/>
    <n v="145.64285709999999"/>
    <n v="897.73"/>
    <n v="138.97499999999999"/>
    <n v="40.4"/>
  </r>
  <r>
    <x v="4"/>
    <x v="4"/>
    <n v="49.895099999999999"/>
    <n v="-97.138400000000004"/>
    <x v="0"/>
    <n v="7"/>
    <s v="July"/>
    <n v="63.5"/>
    <n v="145.64285709999999"/>
    <n v="897.73"/>
    <n v="141.42500000000001"/>
    <n v="43.6"/>
  </r>
  <r>
    <x v="4"/>
    <x v="4"/>
    <n v="49.895099999999999"/>
    <n v="-97.138400000000004"/>
    <x v="0"/>
    <n v="8"/>
    <s v="August"/>
    <n v="63.5"/>
    <n v="145.64285709999999"/>
    <n v="897.73"/>
    <n v="142.22499999999999"/>
    <n v="80.8"/>
  </r>
  <r>
    <x v="4"/>
    <x v="4"/>
    <n v="49.895099999999999"/>
    <n v="-97.138400000000004"/>
    <x v="0"/>
    <n v="9"/>
    <s v="September"/>
    <n v="63.2"/>
    <n v="145.64285709999999"/>
    <n v="897.73"/>
    <n v="143.92500000000001"/>
    <n v="39.4"/>
  </r>
  <r>
    <x v="4"/>
    <x v="4"/>
    <n v="49.895099999999999"/>
    <n v="-97.138400000000004"/>
    <x v="0"/>
    <n v="10"/>
    <s v="October"/>
    <n v="63"/>
    <n v="145.64285709999999"/>
    <n v="897.73"/>
    <n v="151.32499999999999"/>
    <n v="36.6"/>
  </r>
  <r>
    <x v="4"/>
    <x v="4"/>
    <n v="49.895099999999999"/>
    <n v="-97.138400000000004"/>
    <x v="0"/>
    <n v="11"/>
    <s v="November"/>
    <n v="62.8"/>
    <n v="145.64285709999999"/>
    <n v="897.73"/>
    <n v="152.1"/>
    <n v="55.4"/>
  </r>
  <r>
    <x v="4"/>
    <x v="4"/>
    <n v="49.895099999999999"/>
    <n v="-97.138400000000004"/>
    <x v="0"/>
    <n v="12"/>
    <s v="December"/>
    <n v="62.9"/>
    <n v="145.64285709999999"/>
    <n v="897.73"/>
    <n v="148.52500000000001"/>
    <n v="95.2"/>
  </r>
  <r>
    <x v="4"/>
    <x v="4"/>
    <n v="49.895099999999999"/>
    <n v="-97.138400000000004"/>
    <x v="1"/>
    <n v="1"/>
    <s v="January"/>
    <n v="63.1"/>
    <n v="150.6"/>
    <n v="985.6"/>
    <n v="157.42500000000001"/>
    <n v="77.400000000000006"/>
  </r>
  <r>
    <x v="4"/>
    <x v="4"/>
    <n v="49.895099999999999"/>
    <n v="-97.138400000000004"/>
    <x v="1"/>
    <n v="2"/>
    <s v="February"/>
    <n v="63.4"/>
    <n v="150.6"/>
    <n v="985.6"/>
    <n v="169.9"/>
    <n v="73.3"/>
  </r>
  <r>
    <x v="4"/>
    <x v="4"/>
    <n v="49.895099999999999"/>
    <n v="-97.138400000000004"/>
    <x v="1"/>
    <n v="3"/>
    <s v="March"/>
    <n v="63.8"/>
    <n v="150.6"/>
    <n v="985.6"/>
    <n v="193.72499999999999"/>
    <n v="90"/>
  </r>
  <r>
    <x v="4"/>
    <x v="4"/>
    <n v="49.895099999999999"/>
    <n v="-97.138400000000004"/>
    <x v="1"/>
    <n v="4"/>
    <s v="April"/>
    <n v="64"/>
    <n v="150.6"/>
    <n v="985.6"/>
    <n v="195.67500000000001"/>
    <n v="101.8"/>
  </r>
  <r>
    <x v="4"/>
    <x v="4"/>
    <n v="49.895099999999999"/>
    <n v="-97.138400000000004"/>
    <x v="1"/>
    <n v="5"/>
    <s v="May"/>
    <n v="63.9"/>
    <n v="150.6"/>
    <n v="985.6"/>
    <n v="226.5"/>
    <n v="58.8"/>
  </r>
  <r>
    <x v="4"/>
    <x v="4"/>
    <n v="49.895099999999999"/>
    <n v="-97.138400000000004"/>
    <x v="1"/>
    <n v="6"/>
    <s v="June"/>
    <n v="63.9"/>
    <n v="150.6"/>
    <n v="985.6"/>
    <n v="222.42500000000001"/>
    <n v="108"/>
  </r>
  <r>
    <x v="4"/>
    <x v="4"/>
    <n v="49.895099999999999"/>
    <n v="-97.138400000000004"/>
    <x v="1"/>
    <n v="7"/>
    <s v="July"/>
    <n v="63.9"/>
    <n v="150.6"/>
    <n v="985.6"/>
    <n v="199.72499999999999"/>
    <n v="103.8"/>
  </r>
  <r>
    <x v="4"/>
    <x v="4"/>
    <n v="49.895099999999999"/>
    <n v="-97.138400000000004"/>
    <x v="1"/>
    <n v="8"/>
    <s v="August"/>
    <n v="63.7"/>
    <n v="150.6"/>
    <n v="985.6"/>
    <n v="186.05"/>
    <n v="59.2"/>
  </r>
  <r>
    <x v="4"/>
    <x v="4"/>
    <n v="49.895099999999999"/>
    <n v="-97.138400000000004"/>
    <x v="1"/>
    <n v="9"/>
    <s v="September"/>
    <n v="63.5"/>
    <n v="150.6"/>
    <n v="985.6"/>
    <n v="178.625"/>
    <n v="11.2"/>
  </r>
  <r>
    <x v="4"/>
    <x v="4"/>
    <n v="49.895099999999999"/>
    <n v="-97.138400000000004"/>
    <x v="1"/>
    <n v="10"/>
    <s v="October"/>
    <n v="63.1"/>
    <n v="150.6"/>
    <n v="985.6"/>
    <n v="201.55"/>
    <n v="40.1"/>
  </r>
  <r>
    <x v="4"/>
    <x v="4"/>
    <n v="49.895099999999999"/>
    <n v="-97.138400000000004"/>
    <x v="1"/>
    <n v="11"/>
    <s v="November"/>
    <n v="63"/>
    <n v="150.6"/>
    <n v="985.6"/>
    <n v="204"/>
    <n v="54.2"/>
  </r>
  <r>
    <x v="4"/>
    <x v="4"/>
    <n v="49.895099999999999"/>
    <n v="-97.138400000000004"/>
    <x v="1"/>
    <n v="12"/>
    <s v="December"/>
    <n v="62.6"/>
    <n v="150.6"/>
    <m/>
    <n v="186.77500000000001"/>
    <n v="80.3"/>
  </r>
  <r>
    <x v="4"/>
    <x v="4"/>
    <n v="49.895099999999999"/>
    <n v="-97.138400000000004"/>
    <x v="2"/>
    <n v="1"/>
    <s v="January"/>
    <n v="62.3"/>
    <m/>
    <n v="1010.43"/>
    <n v="184.95"/>
    <n v="99.6"/>
  </r>
  <r>
    <x v="4"/>
    <x v="4"/>
    <n v="49.895099999999999"/>
    <n v="-97.138400000000004"/>
    <x v="2"/>
    <n v="2"/>
    <s v="February"/>
    <n v="62.1"/>
    <m/>
    <n v="1015.93"/>
    <n v="170"/>
    <n v="33.6"/>
  </r>
  <r>
    <x v="4"/>
    <x v="4"/>
    <n v="49.895099999999999"/>
    <n v="-97.138400000000004"/>
    <x v="2"/>
    <n v="3"/>
    <s v="March"/>
    <n v="62"/>
    <m/>
    <n v="1021.44"/>
    <n v="166.92500000000001"/>
    <n v="56.7"/>
  </r>
  <r>
    <x v="4"/>
    <x v="4"/>
    <n v="49.895099999999999"/>
    <n v="-97.138400000000004"/>
    <x v="2"/>
    <n v="4"/>
    <s v="April"/>
    <n v="62"/>
    <m/>
    <n v="1026.94"/>
    <n v="170.67500000000001"/>
    <n v="135.5"/>
  </r>
  <r>
    <x v="4"/>
    <x v="4"/>
    <n v="49.895099999999999"/>
    <n v="-97.138400000000004"/>
    <x v="2"/>
    <n v="5"/>
    <s v="May"/>
    <n v="62"/>
    <m/>
    <n v="1032.44"/>
    <n v="165.32499999999999"/>
    <n v="76.8"/>
  </r>
  <r>
    <x v="4"/>
    <x v="4"/>
    <n v="49.895099999999999"/>
    <n v="-97.138400000000004"/>
    <x v="2"/>
    <n v="6"/>
    <s v="June"/>
    <n v="61.8"/>
    <m/>
    <n v="1037.94"/>
    <n v="165.32499999999999"/>
    <n v="114.1"/>
  </r>
  <r>
    <x v="4"/>
    <x v="4"/>
    <n v="49.895099999999999"/>
    <n v="-97.138400000000004"/>
    <x v="2"/>
    <n v="7"/>
    <s v="July"/>
    <n v="61.6"/>
    <m/>
    <n v="1043.44"/>
    <n v="168.75"/>
    <n v="215.4"/>
  </r>
  <r>
    <x v="4"/>
    <x v="4"/>
    <n v="49.895099999999999"/>
    <n v="-97.138400000000004"/>
    <x v="2"/>
    <n v="8"/>
    <s v="August"/>
    <n v="61.4"/>
    <m/>
    <n v="1048.94"/>
    <n v="181.17500000000001"/>
    <n v="181.8"/>
  </r>
  <r>
    <x v="4"/>
    <x v="4"/>
    <n v="49.895099999999999"/>
    <n v="-97.138400000000004"/>
    <x v="2"/>
    <n v="9"/>
    <s v="September"/>
    <n v="61.2"/>
    <m/>
    <n v="1054.44"/>
    <n v="183.75"/>
    <n v="98.5"/>
  </r>
  <r>
    <x v="4"/>
    <x v="4"/>
    <n v="49.895099999999999"/>
    <n v="-97.138400000000004"/>
    <x v="2"/>
    <n v="10"/>
    <s v="October"/>
    <n v="61.2"/>
    <m/>
    <n v="1059.95"/>
    <n v="176.5"/>
    <n v="29.5"/>
  </r>
  <r>
    <x v="4"/>
    <x v="4"/>
    <n v="49.895099999999999"/>
    <n v="-97.138400000000004"/>
    <x v="2"/>
    <n v="11"/>
    <s v="November"/>
    <n v="61.1"/>
    <m/>
    <n v="1065.45"/>
    <n v="173.57499999999999"/>
    <n v="39.299999999999997"/>
  </r>
  <r>
    <x v="4"/>
    <x v="4"/>
    <n v="49.895099999999999"/>
    <n v="-97.138400000000004"/>
    <x v="2"/>
    <n v="12"/>
    <s v="December"/>
    <n v="61.1"/>
    <m/>
    <n v="985.6"/>
    <n v="164.57499999999999"/>
    <n v="64.400000000000006"/>
  </r>
  <r>
    <x v="5"/>
    <x v="5"/>
    <n v="43.588999999999999"/>
    <n v="-79.644099999999995"/>
    <x v="0"/>
    <n v="1"/>
    <s v="January"/>
    <n v="64.7"/>
    <n v="139.6"/>
    <n v="1133.75"/>
    <n v="131.125"/>
    <n v="147.30000000000001"/>
  </r>
  <r>
    <x v="5"/>
    <x v="5"/>
    <n v="43.588999999999999"/>
    <n v="-79.644099999999995"/>
    <x v="0"/>
    <n v="2"/>
    <s v="February"/>
    <n v="64.900000000000006"/>
    <n v="139.6"/>
    <n v="1133.75"/>
    <n v="136.9"/>
    <n v="59.7"/>
  </r>
  <r>
    <x v="5"/>
    <x v="5"/>
    <n v="43.588999999999999"/>
    <n v="-79.644099999999995"/>
    <x v="0"/>
    <n v="3"/>
    <s v="March"/>
    <n v="65.099999999999994"/>
    <n v="139.6"/>
    <n v="1133.75"/>
    <n v="145.02500000000001"/>
    <n v="153"/>
  </r>
  <r>
    <x v="5"/>
    <x v="5"/>
    <n v="43.588999999999999"/>
    <n v="-79.644099999999995"/>
    <x v="0"/>
    <n v="4"/>
    <s v="April"/>
    <n v="65.2"/>
    <n v="139.6"/>
    <n v="1133.75"/>
    <n v="146.80000000000001"/>
    <n v="94.6"/>
  </r>
  <r>
    <x v="5"/>
    <x v="5"/>
    <n v="43.588999999999999"/>
    <n v="-79.644099999999995"/>
    <x v="0"/>
    <n v="5"/>
    <s v="May"/>
    <n v="65.099999999999994"/>
    <n v="139.6"/>
    <n v="1133.75"/>
    <n v="150.65"/>
    <n v="92.1"/>
  </r>
  <r>
    <x v="5"/>
    <x v="5"/>
    <n v="43.588999999999999"/>
    <n v="-79.644099999999995"/>
    <x v="0"/>
    <n v="6"/>
    <s v="June"/>
    <n v="64.900000000000006"/>
    <n v="139.6"/>
    <n v="1133.75"/>
    <n v="155.80000000000001"/>
    <n v="69.7"/>
  </r>
  <r>
    <x v="5"/>
    <x v="5"/>
    <n v="43.588999999999999"/>
    <n v="-79.644099999999995"/>
    <x v="0"/>
    <n v="7"/>
    <s v="July"/>
    <n v="64.8"/>
    <n v="139.6"/>
    <n v="1133.75"/>
    <n v="161.47499999999999"/>
    <n v="27.9"/>
  </r>
  <r>
    <x v="5"/>
    <x v="5"/>
    <n v="43.588999999999999"/>
    <n v="-79.644099999999995"/>
    <x v="0"/>
    <n v="8"/>
    <s v="August"/>
    <n v="64.8"/>
    <n v="139.6"/>
    <n v="1133.75"/>
    <n v="160.82499999999999"/>
    <n v="6.4"/>
  </r>
  <r>
    <x v="5"/>
    <x v="5"/>
    <n v="43.588999999999999"/>
    <n v="-79.644099999999995"/>
    <x v="0"/>
    <n v="9"/>
    <s v="September"/>
    <n v="65.099999999999994"/>
    <n v="139.6"/>
    <n v="1133.75"/>
    <n v="157.47499999999999"/>
    <n v="7"/>
  </r>
  <r>
    <x v="5"/>
    <x v="5"/>
    <n v="43.588999999999999"/>
    <n v="-79.644099999999995"/>
    <x v="0"/>
    <n v="10"/>
    <s v="October"/>
    <n v="65.099999999999994"/>
    <n v="139.6"/>
    <n v="1133.75"/>
    <n v="164.27500000000001"/>
    <n v="88.7"/>
  </r>
  <r>
    <x v="5"/>
    <x v="5"/>
    <n v="43.588999999999999"/>
    <n v="-79.644099999999995"/>
    <x v="0"/>
    <n v="11"/>
    <s v="November"/>
    <n v="65.099999999999994"/>
    <n v="139.6"/>
    <n v="1133.75"/>
    <n v="163.65"/>
    <n v="113.8"/>
  </r>
  <r>
    <x v="5"/>
    <x v="5"/>
    <n v="43.588999999999999"/>
    <n v="-79.644099999999995"/>
    <x v="0"/>
    <n v="12"/>
    <s v="December"/>
    <n v="65"/>
    <n v="139.6"/>
    <n v="1133.75"/>
    <n v="161.52500000000001"/>
    <n v="187.8"/>
  </r>
  <r>
    <x v="5"/>
    <x v="5"/>
    <n v="43.588999999999999"/>
    <n v="-79.644099999999995"/>
    <x v="1"/>
    <n v="1"/>
    <s v="January"/>
    <n v="65.099999999999994"/>
    <n v="143.3666667"/>
    <n v="1141.58"/>
    <n v="176.45"/>
    <n v="122.7"/>
  </r>
  <r>
    <x v="5"/>
    <x v="5"/>
    <n v="43.588999999999999"/>
    <n v="-79.644099999999995"/>
    <x v="1"/>
    <n v="2"/>
    <s v="February"/>
    <n v="65.099999999999994"/>
    <n v="143.3666667"/>
    <n v="1141.58"/>
    <n v="181.65"/>
    <n v="74.8"/>
  </r>
  <r>
    <x v="5"/>
    <x v="5"/>
    <n v="43.588999999999999"/>
    <n v="-79.644099999999995"/>
    <x v="1"/>
    <n v="3"/>
    <s v="March"/>
    <n v="65.2"/>
    <n v="143.3666667"/>
    <n v="1141.58"/>
    <n v="212.15"/>
    <n v="38.4"/>
  </r>
  <r>
    <x v="5"/>
    <x v="5"/>
    <n v="43.588999999999999"/>
    <n v="-79.644099999999995"/>
    <x v="1"/>
    <n v="4"/>
    <s v="April"/>
    <n v="65.099999999999994"/>
    <n v="143.3666667"/>
    <n v="1141.58"/>
    <n v="205.65"/>
    <n v="99.2"/>
  </r>
  <r>
    <x v="5"/>
    <x v="5"/>
    <n v="43.588999999999999"/>
    <n v="-79.644099999999995"/>
    <x v="1"/>
    <n v="5"/>
    <s v="May"/>
    <n v="65"/>
    <n v="143.3666667"/>
    <n v="1141.58"/>
    <n v="227"/>
    <n v="16.100000000000001"/>
  </r>
  <r>
    <x v="5"/>
    <x v="5"/>
    <n v="43.588999999999999"/>
    <n v="-79.644099999999995"/>
    <x v="1"/>
    <n v="6"/>
    <s v="June"/>
    <n v="65"/>
    <n v="143.3666667"/>
    <n v="1141.58"/>
    <n v="240.02500000000001"/>
    <n v="19.899999999999999"/>
  </r>
  <r>
    <x v="5"/>
    <x v="5"/>
    <n v="43.588999999999999"/>
    <n v="-79.644099999999995"/>
    <x v="1"/>
    <n v="7"/>
    <s v="July"/>
    <n v="65"/>
    <n v="143.3666667"/>
    <n v="1141.58"/>
    <n v="213.4"/>
    <n v="20.5"/>
  </r>
  <r>
    <x v="5"/>
    <x v="5"/>
    <n v="43.588999999999999"/>
    <n v="-79.644099999999995"/>
    <x v="1"/>
    <n v="8"/>
    <s v="August"/>
    <n v="65.099999999999994"/>
    <n v="143.3666667"/>
    <n v="1141.58"/>
    <n v="196.67500000000001"/>
    <n v="34.299999999999997"/>
  </r>
  <r>
    <x v="5"/>
    <x v="5"/>
    <n v="43.588999999999999"/>
    <n v="-79.644099999999995"/>
    <x v="1"/>
    <n v="9"/>
    <s v="September"/>
    <n v="65.3"/>
    <n v="143.3666667"/>
    <n v="1141.58"/>
    <n v="209.67500000000001"/>
    <n v="33.299999999999997"/>
  </r>
  <r>
    <x v="5"/>
    <x v="5"/>
    <n v="43.588999999999999"/>
    <n v="-79.644099999999995"/>
    <x v="1"/>
    <n v="10"/>
    <s v="October"/>
    <n v="65.5"/>
    <n v="143.3666667"/>
    <n v="1141.58"/>
    <n v="225.27500000000001"/>
    <n v="118.2"/>
  </r>
  <r>
    <x v="5"/>
    <x v="5"/>
    <n v="43.588999999999999"/>
    <n v="-79.644099999999995"/>
    <x v="1"/>
    <n v="11"/>
    <s v="November"/>
    <n v="65.5"/>
    <n v="143.3666667"/>
    <n v="1141.58"/>
    <n v="209"/>
    <n v="112"/>
  </r>
  <r>
    <x v="5"/>
    <x v="5"/>
    <n v="43.588999999999999"/>
    <n v="-79.644099999999995"/>
    <x v="1"/>
    <n v="12"/>
    <s v="December"/>
    <n v="65.5"/>
    <n v="143.3666667"/>
    <m/>
    <n v="178.42500000000001"/>
    <n v="185.1"/>
  </r>
  <r>
    <x v="5"/>
    <x v="5"/>
    <n v="43.588999999999999"/>
    <n v="-79.644099999999995"/>
    <x v="2"/>
    <n v="1"/>
    <s v="January"/>
    <n v="65.3"/>
    <m/>
    <n v="1143.79"/>
    <n v="190.57499999999999"/>
    <n v="259.5"/>
  </r>
  <r>
    <x v="5"/>
    <x v="5"/>
    <n v="43.588999999999999"/>
    <n v="-79.644099999999995"/>
    <x v="2"/>
    <n v="2"/>
    <s v="February"/>
    <n v="65.2"/>
    <m/>
    <n v="1144.28"/>
    <n v="191.92500000000001"/>
    <n v="86.7"/>
  </r>
  <r>
    <x v="5"/>
    <x v="5"/>
    <n v="43.588999999999999"/>
    <n v="-79.644099999999995"/>
    <x v="2"/>
    <n v="3"/>
    <s v="March"/>
    <n v="64.900000000000006"/>
    <m/>
    <n v="1144.77"/>
    <n v="188.25"/>
    <n v="100.6"/>
  </r>
  <r>
    <x v="5"/>
    <x v="5"/>
    <n v="43.588999999999999"/>
    <n v="-79.644099999999995"/>
    <x v="2"/>
    <n v="4"/>
    <s v="April"/>
    <n v="64.8"/>
    <m/>
    <n v="1145.26"/>
    <n v="189.82499999999999"/>
    <n v="59.7"/>
  </r>
  <r>
    <x v="5"/>
    <x v="5"/>
    <n v="43.588999999999999"/>
    <n v="-79.644099999999995"/>
    <x v="2"/>
    <n v="5"/>
    <s v="May"/>
    <n v="64.5"/>
    <m/>
    <n v="1145.75"/>
    <n v="186.22499999999999"/>
    <n v="53.9"/>
  </r>
  <r>
    <x v="5"/>
    <x v="5"/>
    <n v="43.588999999999999"/>
    <n v="-79.644099999999995"/>
    <x v="2"/>
    <n v="6"/>
    <s v="June"/>
    <n v="63.9"/>
    <m/>
    <n v="1146.24"/>
    <n v="193.72499999999999"/>
    <n v="64.099999999999994"/>
  </r>
  <r>
    <x v="5"/>
    <x v="5"/>
    <n v="43.588999999999999"/>
    <n v="-79.644099999999995"/>
    <x v="2"/>
    <n v="7"/>
    <s v="July"/>
    <n v="63.5"/>
    <m/>
    <n v="1146.73"/>
    <n v="193.125"/>
    <n v="19.8"/>
  </r>
  <r>
    <x v="5"/>
    <x v="5"/>
    <n v="43.588999999999999"/>
    <n v="-79.644099999999995"/>
    <x v="2"/>
    <n v="8"/>
    <s v="August"/>
    <n v="63"/>
    <m/>
    <n v="1147.22"/>
    <n v="211.57499999999999"/>
    <n v="59.4"/>
  </r>
  <r>
    <x v="5"/>
    <x v="5"/>
    <n v="43.588999999999999"/>
    <n v="-79.644099999999995"/>
    <x v="2"/>
    <n v="9"/>
    <s v="September"/>
    <n v="62.9"/>
    <m/>
    <n v="1147.71"/>
    <n v="216.6"/>
    <n v="54.1"/>
  </r>
  <r>
    <x v="5"/>
    <x v="5"/>
    <n v="43.588999999999999"/>
    <n v="-79.644099999999995"/>
    <x v="2"/>
    <n v="10"/>
    <s v="October"/>
    <n v="62.8"/>
    <m/>
    <n v="1148.2"/>
    <n v="198.32499999999999"/>
    <n v="207.4"/>
  </r>
  <r>
    <x v="5"/>
    <x v="5"/>
    <n v="43.588999999999999"/>
    <n v="-79.644099999999995"/>
    <x v="2"/>
    <n v="11"/>
    <s v="November"/>
    <n v="62.8"/>
    <m/>
    <n v="1148.7"/>
    <n v="191.57499999999999"/>
    <n v="207.8"/>
  </r>
  <r>
    <x v="5"/>
    <x v="5"/>
    <n v="43.588999999999999"/>
    <n v="-79.644099999999995"/>
    <x v="2"/>
    <n v="12"/>
    <s v="December"/>
    <n v="62.8"/>
    <m/>
    <n v="1141.58"/>
    <n v="171.7"/>
    <n v="194"/>
  </r>
  <r>
    <x v="6"/>
    <x v="6"/>
    <n v="45.5017"/>
    <n v="-73.567300000000003"/>
    <x v="0"/>
    <n v="1"/>
    <s v="January"/>
    <n v="65.099999999999994"/>
    <n v="142.98571430000001"/>
    <n v="1646.91"/>
    <n v="109.875"/>
    <n v="0"/>
  </r>
  <r>
    <x v="6"/>
    <x v="6"/>
    <n v="45.5017"/>
    <n v="-73.567300000000003"/>
    <x v="0"/>
    <n v="2"/>
    <s v="February"/>
    <n v="65.2"/>
    <n v="142.98571430000001"/>
    <n v="1646.91"/>
    <n v="115.52500000000001"/>
    <n v="0"/>
  </r>
  <r>
    <x v="6"/>
    <x v="6"/>
    <n v="45.5017"/>
    <n v="-73.567300000000003"/>
    <x v="0"/>
    <n v="3"/>
    <s v="March"/>
    <n v="65.2"/>
    <n v="142.98571430000001"/>
    <n v="1646.91"/>
    <n v="121.95"/>
    <n v="0"/>
  </r>
  <r>
    <x v="6"/>
    <x v="6"/>
    <n v="45.5017"/>
    <n v="-73.567300000000003"/>
    <x v="0"/>
    <n v="4"/>
    <s v="April"/>
    <n v="65.3"/>
    <n v="142.98571430000001"/>
    <n v="1646.91"/>
    <n v="125.47499999999999"/>
    <n v="0"/>
  </r>
  <r>
    <x v="6"/>
    <x v="6"/>
    <n v="45.5017"/>
    <n v="-73.567300000000003"/>
    <x v="0"/>
    <n v="5"/>
    <s v="May"/>
    <n v="65"/>
    <n v="142.98571430000001"/>
    <n v="1646.91"/>
    <n v="130.17500000000001"/>
    <n v="0"/>
  </r>
  <r>
    <x v="6"/>
    <x v="6"/>
    <n v="45.5017"/>
    <n v="-73.567300000000003"/>
    <x v="0"/>
    <n v="6"/>
    <s v="June"/>
    <n v="65"/>
    <n v="142.98571430000001"/>
    <n v="1646.91"/>
    <n v="129.94999999999999"/>
    <n v="0"/>
  </r>
  <r>
    <x v="6"/>
    <x v="6"/>
    <n v="45.5017"/>
    <n v="-73.567300000000003"/>
    <x v="0"/>
    <n v="7"/>
    <s v="July"/>
    <n v="64.900000000000006"/>
    <n v="142.98571430000001"/>
    <n v="1646.91"/>
    <n v="132.05000000000001"/>
    <n v="0"/>
  </r>
  <r>
    <x v="6"/>
    <x v="6"/>
    <n v="45.5017"/>
    <n v="-73.567300000000003"/>
    <x v="0"/>
    <n v="8"/>
    <s v="August"/>
    <n v="65"/>
    <n v="142.98571430000001"/>
    <n v="1646.91"/>
    <n v="132.27500000000001"/>
    <n v="0"/>
  </r>
  <r>
    <x v="6"/>
    <x v="6"/>
    <n v="45.5017"/>
    <n v="-73.567300000000003"/>
    <x v="0"/>
    <n v="9"/>
    <s v="September"/>
    <n v="65"/>
    <n v="142.98571430000001"/>
    <n v="1646.91"/>
    <n v="133.80000000000001"/>
    <n v="0"/>
  </r>
  <r>
    <x v="6"/>
    <x v="6"/>
    <n v="45.5017"/>
    <n v="-73.567300000000003"/>
    <x v="0"/>
    <n v="10"/>
    <s v="October"/>
    <n v="65"/>
    <n v="142.98571430000001"/>
    <n v="1646.91"/>
    <n v="143.77500000000001"/>
    <n v="0"/>
  </r>
  <r>
    <x v="6"/>
    <x v="6"/>
    <n v="45.5017"/>
    <n v="-73.567300000000003"/>
    <x v="0"/>
    <n v="11"/>
    <s v="November"/>
    <n v="65"/>
    <n v="142.98571430000001"/>
    <n v="1646.91"/>
    <n v="142.15"/>
    <n v="0"/>
  </r>
  <r>
    <x v="6"/>
    <x v="6"/>
    <n v="45.5017"/>
    <n v="-73.567300000000003"/>
    <x v="0"/>
    <n v="12"/>
    <s v="December"/>
    <n v="65.099999999999994"/>
    <n v="142.98571430000001"/>
    <n v="1646.91"/>
    <n v="136.72499999999999"/>
    <n v="0"/>
  </r>
  <r>
    <x v="6"/>
    <x v="6"/>
    <n v="45.5017"/>
    <n v="-73.567300000000003"/>
    <x v="1"/>
    <n v="1"/>
    <s v="January"/>
    <n v="64.7"/>
    <n v="147.94999999999999"/>
    <n v="1765.87"/>
    <n v="144.15"/>
    <n v="0"/>
  </r>
  <r>
    <x v="6"/>
    <x v="6"/>
    <n v="45.5017"/>
    <n v="-73.567300000000003"/>
    <x v="1"/>
    <n v="2"/>
    <s v="February"/>
    <n v="64.7"/>
    <n v="147.94999999999999"/>
    <n v="1765.87"/>
    <n v="154.19999999999999"/>
    <n v="0"/>
  </r>
  <r>
    <x v="6"/>
    <x v="6"/>
    <n v="45.5017"/>
    <n v="-73.567300000000003"/>
    <x v="1"/>
    <n v="3"/>
    <s v="March"/>
    <n v="64.900000000000006"/>
    <n v="147.94999999999999"/>
    <n v="1765.87"/>
    <n v="179.85"/>
    <n v="0"/>
  </r>
  <r>
    <x v="6"/>
    <x v="6"/>
    <n v="45.5017"/>
    <n v="-73.567300000000003"/>
    <x v="1"/>
    <n v="4"/>
    <s v="April"/>
    <n v="65"/>
    <n v="147.94999999999999"/>
    <n v="1765.87"/>
    <n v="184.85"/>
    <n v="0"/>
  </r>
  <r>
    <x v="6"/>
    <x v="6"/>
    <n v="45.5017"/>
    <n v="-73.567300000000003"/>
    <x v="1"/>
    <n v="5"/>
    <s v="May"/>
    <n v="65"/>
    <n v="147.94999999999999"/>
    <n v="1765.87"/>
    <n v="194.85"/>
    <n v="0"/>
  </r>
  <r>
    <x v="6"/>
    <x v="6"/>
    <n v="45.5017"/>
    <n v="-73.567300000000003"/>
    <x v="1"/>
    <n v="6"/>
    <s v="June"/>
    <n v="64.5"/>
    <n v="147.94999999999999"/>
    <n v="1765.87"/>
    <n v="209.82499999999999"/>
    <n v="0"/>
  </r>
  <r>
    <x v="6"/>
    <x v="6"/>
    <n v="45.5017"/>
    <n v="-73.567300000000003"/>
    <x v="1"/>
    <n v="7"/>
    <s v="July"/>
    <n v="64.3"/>
    <n v="147.94999999999999"/>
    <n v="1765.87"/>
    <n v="199.375"/>
    <n v="0"/>
  </r>
  <r>
    <x v="6"/>
    <x v="6"/>
    <n v="45.5017"/>
    <n v="-73.567300000000003"/>
    <x v="1"/>
    <n v="8"/>
    <s v="August"/>
    <n v="64.099999999999994"/>
    <n v="147.94999999999999"/>
    <n v="1765.87"/>
    <n v="181.57499999999999"/>
    <n v="0"/>
  </r>
  <r>
    <x v="6"/>
    <x v="6"/>
    <n v="45.5017"/>
    <n v="-73.567300000000003"/>
    <x v="1"/>
    <n v="9"/>
    <s v="September"/>
    <n v="64.099999999999994"/>
    <n v="147.94999999999999"/>
    <n v="1765.87"/>
    <n v="183.47499999999999"/>
    <n v="0"/>
  </r>
  <r>
    <x v="6"/>
    <x v="6"/>
    <n v="45.5017"/>
    <n v="-73.567300000000003"/>
    <x v="1"/>
    <n v="10"/>
    <s v="October"/>
    <n v="64.3"/>
    <n v="147.94999999999999"/>
    <n v="1765.87"/>
    <n v="200.95"/>
    <n v="0"/>
  </r>
  <r>
    <x v="6"/>
    <x v="6"/>
    <n v="45.5017"/>
    <n v="-73.567300000000003"/>
    <x v="1"/>
    <n v="11"/>
    <s v="November"/>
    <n v="64.400000000000006"/>
    <n v="147.94999999999999"/>
    <n v="1765.87"/>
    <n v="195.45"/>
    <n v="0"/>
  </r>
  <r>
    <x v="6"/>
    <x v="6"/>
    <n v="45.5017"/>
    <n v="-73.567300000000003"/>
    <x v="1"/>
    <n v="12"/>
    <s v="December"/>
    <n v="64.400000000000006"/>
    <n v="147.94999999999999"/>
    <m/>
    <n v="176.72499999999999"/>
    <n v="0"/>
  </r>
  <r>
    <x v="6"/>
    <x v="6"/>
    <n v="45.5017"/>
    <n v="-73.567300000000003"/>
    <x v="2"/>
    <n v="1"/>
    <s v="January"/>
    <n v="64.5"/>
    <m/>
    <n v="1799.49"/>
    <n v="170.75"/>
    <n v="0"/>
  </r>
  <r>
    <x v="6"/>
    <x v="6"/>
    <n v="45.5017"/>
    <n v="-73.567300000000003"/>
    <x v="2"/>
    <n v="2"/>
    <s v="February"/>
    <n v="64.400000000000006"/>
    <m/>
    <n v="1806.94"/>
    <n v="166.67500000000001"/>
    <n v="0"/>
  </r>
  <r>
    <x v="6"/>
    <x v="6"/>
    <n v="45.5017"/>
    <n v="-73.567300000000003"/>
    <x v="2"/>
    <n v="3"/>
    <s v="March"/>
    <n v="64.099999999999994"/>
    <m/>
    <n v="1814.38"/>
    <n v="161.65"/>
    <n v="0"/>
  </r>
  <r>
    <x v="6"/>
    <x v="6"/>
    <n v="45.5017"/>
    <n v="-73.567300000000003"/>
    <x v="2"/>
    <n v="4"/>
    <s v="April"/>
    <n v="63.6"/>
    <m/>
    <n v="1821.83"/>
    <n v="166.25"/>
    <n v="0"/>
  </r>
  <r>
    <x v="6"/>
    <x v="6"/>
    <n v="45.5017"/>
    <n v="-73.567300000000003"/>
    <x v="2"/>
    <n v="5"/>
    <s v="May"/>
    <n v="63.6"/>
    <m/>
    <n v="1829.28"/>
    <n v="163.17500000000001"/>
    <n v="0"/>
  </r>
  <r>
    <x v="6"/>
    <x v="6"/>
    <n v="45.5017"/>
    <n v="-73.567300000000003"/>
    <x v="2"/>
    <n v="6"/>
    <s v="June"/>
    <n v="63.7"/>
    <m/>
    <n v="1836.73"/>
    <n v="159.625"/>
    <n v="0"/>
  </r>
  <r>
    <x v="6"/>
    <x v="6"/>
    <n v="45.5017"/>
    <n v="-73.567300000000003"/>
    <x v="2"/>
    <n v="7"/>
    <s v="July"/>
    <n v="63.8"/>
    <m/>
    <n v="1844.18"/>
    <n v="158.4"/>
    <n v="0"/>
  </r>
  <r>
    <x v="6"/>
    <x v="6"/>
    <n v="45.5017"/>
    <n v="-73.567300000000003"/>
    <x v="2"/>
    <n v="8"/>
    <s v="August"/>
    <n v="63.9"/>
    <m/>
    <n v="1851.62"/>
    <n v="169.52500000000001"/>
    <n v="0"/>
  </r>
  <r>
    <x v="6"/>
    <x v="6"/>
    <n v="45.5017"/>
    <n v="-73.567300000000003"/>
    <x v="2"/>
    <n v="9"/>
    <s v="September"/>
    <n v="63.8"/>
    <m/>
    <n v="1859.07"/>
    <n v="173.875"/>
    <n v="0"/>
  </r>
  <r>
    <x v="6"/>
    <x v="6"/>
    <n v="45.5017"/>
    <n v="-73.567300000000003"/>
    <x v="2"/>
    <n v="10"/>
    <s v="October"/>
    <n v="63.9"/>
    <m/>
    <n v="1866.52"/>
    <n v="171.52500000000001"/>
    <n v="0"/>
  </r>
  <r>
    <x v="6"/>
    <x v="6"/>
    <n v="45.5017"/>
    <n v="-73.567300000000003"/>
    <x v="2"/>
    <n v="11"/>
    <s v="November"/>
    <n v="63.8"/>
    <m/>
    <n v="1873.97"/>
    <n v="168.15"/>
    <n v="0"/>
  </r>
  <r>
    <x v="6"/>
    <x v="6"/>
    <n v="45.5017"/>
    <n v="-73.567300000000003"/>
    <x v="2"/>
    <n v="12"/>
    <s v="December"/>
    <n v="63.7"/>
    <m/>
    <n v="1765.87"/>
    <n v="157.02500000000001"/>
    <n v="0"/>
  </r>
  <r>
    <x v="7"/>
    <x v="7"/>
    <n v="45.421500000000002"/>
    <n v="-75.699100000000001"/>
    <x v="0"/>
    <n v="1"/>
    <s v="January"/>
    <n v="66"/>
    <m/>
    <n v="1456.75"/>
    <m/>
    <n v="494"/>
  </r>
  <r>
    <x v="7"/>
    <x v="7"/>
    <n v="45.421500000000002"/>
    <n v="-75.699100000000001"/>
    <x v="0"/>
    <n v="2"/>
    <s v="February"/>
    <n v="65.7"/>
    <m/>
    <n v="1456.75"/>
    <m/>
    <n v="494"/>
  </r>
  <r>
    <x v="7"/>
    <x v="7"/>
    <n v="45.421500000000002"/>
    <n v="-75.699100000000001"/>
    <x v="0"/>
    <n v="3"/>
    <s v="March"/>
    <n v="65.5"/>
    <m/>
    <n v="1456.75"/>
    <m/>
    <n v="634"/>
  </r>
  <r>
    <x v="7"/>
    <x v="7"/>
    <n v="45.421500000000002"/>
    <n v="-75.699100000000001"/>
    <x v="0"/>
    <n v="4"/>
    <s v="April"/>
    <n v="65.099999999999994"/>
    <m/>
    <n v="1456.75"/>
    <m/>
    <n v="605"/>
  </r>
  <r>
    <x v="7"/>
    <x v="7"/>
    <n v="45.421500000000002"/>
    <n v="-75.699100000000001"/>
    <x v="0"/>
    <n v="5"/>
    <s v="May"/>
    <n v="65"/>
    <m/>
    <n v="1456.75"/>
    <m/>
    <n v="437"/>
  </r>
  <r>
    <x v="7"/>
    <x v="7"/>
    <n v="45.421500000000002"/>
    <n v="-75.699100000000001"/>
    <x v="0"/>
    <n v="6"/>
    <s v="June"/>
    <n v="65.099999999999994"/>
    <m/>
    <n v="1456.75"/>
    <m/>
    <n v="591"/>
  </r>
  <r>
    <x v="7"/>
    <x v="7"/>
    <n v="45.421500000000002"/>
    <n v="-75.699100000000001"/>
    <x v="0"/>
    <n v="7"/>
    <s v="July"/>
    <n v="65.599999999999994"/>
    <m/>
    <n v="1456.75"/>
    <m/>
    <n v="500"/>
  </r>
  <r>
    <x v="7"/>
    <x v="7"/>
    <n v="45.421500000000002"/>
    <n v="-75.699100000000001"/>
    <x v="0"/>
    <n v="8"/>
    <s v="August"/>
    <n v="66"/>
    <m/>
    <n v="1456.75"/>
    <m/>
    <n v="424"/>
  </r>
  <r>
    <x v="7"/>
    <x v="7"/>
    <n v="45.421500000000002"/>
    <n v="-75.699100000000001"/>
    <x v="0"/>
    <n v="9"/>
    <s v="September"/>
    <n v="66"/>
    <m/>
    <n v="1456.75"/>
    <m/>
    <n v="454"/>
  </r>
  <r>
    <x v="7"/>
    <x v="7"/>
    <n v="45.421500000000002"/>
    <n v="-75.699100000000001"/>
    <x v="0"/>
    <n v="10"/>
    <s v="October"/>
    <n v="66.099999999999994"/>
    <m/>
    <n v="1456.75"/>
    <m/>
    <n v="461"/>
  </r>
  <r>
    <x v="7"/>
    <x v="7"/>
    <n v="45.421500000000002"/>
    <n v="-75.699100000000001"/>
    <x v="0"/>
    <n v="11"/>
    <s v="November"/>
    <n v="65.8"/>
    <m/>
    <n v="1456.75"/>
    <m/>
    <n v="553"/>
  </r>
  <r>
    <x v="7"/>
    <x v="7"/>
    <n v="45.421500000000002"/>
    <n v="-75.699100000000001"/>
    <x v="0"/>
    <n v="12"/>
    <s v="December"/>
    <n v="65.8"/>
    <m/>
    <n v="1456.75"/>
    <m/>
    <n v="419"/>
  </r>
  <r>
    <x v="7"/>
    <x v="7"/>
    <n v="45.421500000000002"/>
    <n v="-75.699100000000001"/>
    <x v="1"/>
    <n v="1"/>
    <s v="January"/>
    <n v="65.900000000000006"/>
    <m/>
    <n v="1434.63"/>
    <m/>
    <n v="49.4"/>
  </r>
  <r>
    <x v="7"/>
    <x v="7"/>
    <n v="45.421500000000002"/>
    <n v="-75.699100000000001"/>
    <x v="1"/>
    <n v="2"/>
    <s v="February"/>
    <n v="65.5"/>
    <m/>
    <n v="1434.63"/>
    <m/>
    <n v="58.4"/>
  </r>
  <r>
    <x v="7"/>
    <x v="7"/>
    <n v="45.421500000000002"/>
    <n v="-75.699100000000001"/>
    <x v="1"/>
    <n v="3"/>
    <s v="March"/>
    <n v="65"/>
    <m/>
    <n v="1434.63"/>
    <m/>
    <n v="69.900000000000006"/>
  </r>
  <r>
    <x v="7"/>
    <x v="7"/>
    <n v="45.421500000000002"/>
    <n v="-75.699100000000001"/>
    <x v="1"/>
    <n v="4"/>
    <s v="April"/>
    <n v="65"/>
    <m/>
    <n v="1434.63"/>
    <m/>
    <n v="85.5"/>
  </r>
  <r>
    <x v="7"/>
    <x v="7"/>
    <n v="45.421500000000002"/>
    <n v="-75.699100000000001"/>
    <x v="1"/>
    <n v="5"/>
    <s v="May"/>
    <n v="65.599999999999994"/>
    <m/>
    <n v="1434.63"/>
    <m/>
    <n v="47"/>
  </r>
  <r>
    <x v="7"/>
    <x v="7"/>
    <n v="45.421500000000002"/>
    <n v="-75.699100000000001"/>
    <x v="1"/>
    <n v="6"/>
    <s v="June"/>
    <n v="66"/>
    <m/>
    <n v="1434.63"/>
    <m/>
    <n v="59.5"/>
  </r>
  <r>
    <x v="7"/>
    <x v="7"/>
    <n v="45.421500000000002"/>
    <n v="-75.699100000000001"/>
    <x v="1"/>
    <n v="7"/>
    <s v="July"/>
    <n v="66.400000000000006"/>
    <m/>
    <n v="1434.63"/>
    <m/>
    <n v="166.4"/>
  </r>
  <r>
    <x v="7"/>
    <x v="7"/>
    <n v="45.421500000000002"/>
    <n v="-75.699100000000001"/>
    <x v="1"/>
    <n v="8"/>
    <s v="August"/>
    <n v="66.400000000000006"/>
    <m/>
    <n v="1434.63"/>
    <m/>
    <n v="98.1"/>
  </r>
  <r>
    <x v="7"/>
    <x v="7"/>
    <n v="45.421500000000002"/>
    <n v="-75.699100000000001"/>
    <x v="1"/>
    <n v="9"/>
    <s v="September"/>
    <n v="66.3"/>
    <m/>
    <n v="1434.63"/>
    <m/>
    <n v="21.2"/>
  </r>
  <r>
    <x v="7"/>
    <x v="7"/>
    <n v="45.421500000000002"/>
    <n v="-75.699100000000001"/>
    <x v="1"/>
    <n v="10"/>
    <s v="October"/>
    <n v="65.5"/>
    <m/>
    <n v="1434.63"/>
    <m/>
    <n v="49.3"/>
  </r>
  <r>
    <x v="7"/>
    <x v="7"/>
    <n v="45.421500000000002"/>
    <n v="-75.699100000000001"/>
    <x v="1"/>
    <n v="11"/>
    <s v="November"/>
    <n v="64.900000000000006"/>
    <m/>
    <n v="1434.63"/>
    <m/>
    <n v="41.1"/>
  </r>
  <r>
    <x v="7"/>
    <x v="7"/>
    <n v="45.421500000000002"/>
    <n v="-75.699100000000001"/>
    <x v="1"/>
    <n v="12"/>
    <s v="December"/>
    <n v="64.5"/>
    <m/>
    <n v="1434.63"/>
    <m/>
    <n v="67.3"/>
  </r>
  <r>
    <x v="7"/>
    <x v="7"/>
    <n v="45.421500000000002"/>
    <n v="-75.699100000000001"/>
    <x v="2"/>
    <n v="1"/>
    <s v="January"/>
    <n v="64.400000000000006"/>
    <m/>
    <n v="1428.38"/>
    <m/>
    <n v="82.4"/>
  </r>
  <r>
    <x v="7"/>
    <x v="7"/>
    <n v="45.421500000000002"/>
    <n v="-75.699100000000001"/>
    <x v="2"/>
    <n v="2"/>
    <s v="February"/>
    <n v="65"/>
    <m/>
    <n v="1426.99"/>
    <m/>
    <n v="14.9"/>
  </r>
  <r>
    <x v="7"/>
    <x v="7"/>
    <n v="45.421500000000002"/>
    <n v="-75.699100000000001"/>
    <x v="2"/>
    <n v="3"/>
    <s v="March"/>
    <n v="65.7"/>
    <m/>
    <n v="1425.61"/>
    <m/>
    <n v="66"/>
  </r>
  <r>
    <x v="7"/>
    <x v="7"/>
    <n v="45.421500000000002"/>
    <n v="-75.699100000000001"/>
    <x v="2"/>
    <n v="4"/>
    <s v="April"/>
    <n v="66.5"/>
    <m/>
    <n v="1424.22"/>
    <m/>
    <n v="108"/>
  </r>
  <r>
    <x v="7"/>
    <x v="7"/>
    <n v="45.421500000000002"/>
    <n v="-75.699100000000001"/>
    <x v="2"/>
    <n v="5"/>
    <s v="May"/>
    <n v="66.7"/>
    <m/>
    <n v="1422.84"/>
    <m/>
    <n v="102.1"/>
  </r>
  <r>
    <x v="7"/>
    <x v="7"/>
    <n v="45.421500000000002"/>
    <n v="-75.699100000000001"/>
    <x v="2"/>
    <n v="6"/>
    <s v="June"/>
    <n v="66.7"/>
    <m/>
    <n v="1421.45"/>
    <m/>
    <n v="81.5"/>
  </r>
  <r>
    <x v="7"/>
    <x v="7"/>
    <n v="45.421500000000002"/>
    <n v="-75.699100000000001"/>
    <x v="2"/>
    <n v="7"/>
    <s v="July"/>
    <n v="66.099999999999994"/>
    <m/>
    <n v="1420.07"/>
    <m/>
    <n v="149"/>
  </r>
  <r>
    <x v="7"/>
    <x v="7"/>
    <n v="45.421500000000002"/>
    <n v="-75.699100000000001"/>
    <x v="2"/>
    <n v="8"/>
    <s v="August"/>
    <n v="65.2"/>
    <m/>
    <n v="1418.68"/>
    <m/>
    <n v="103.5"/>
  </r>
  <r>
    <x v="7"/>
    <x v="7"/>
    <n v="45.421500000000002"/>
    <n v="-75.699100000000001"/>
    <x v="2"/>
    <n v="9"/>
    <s v="September"/>
    <n v="64.099999999999994"/>
    <m/>
    <n v="1417.3"/>
    <m/>
    <n v="23.4"/>
  </r>
  <r>
    <x v="7"/>
    <x v="7"/>
    <n v="45.421500000000002"/>
    <n v="-75.699100000000001"/>
    <x v="2"/>
    <n v="10"/>
    <s v="October"/>
    <n v="64"/>
    <m/>
    <n v="1415.91"/>
    <m/>
    <n v="32"/>
  </r>
  <r>
    <x v="7"/>
    <x v="7"/>
    <n v="45.421500000000002"/>
    <n v="-75.699100000000001"/>
    <x v="2"/>
    <n v="11"/>
    <s v="November"/>
    <n v="64.599999999999994"/>
    <m/>
    <n v="1414.53"/>
    <m/>
    <n v="43.6"/>
  </r>
  <r>
    <x v="7"/>
    <x v="7"/>
    <n v="45.421500000000002"/>
    <n v="-75.699100000000001"/>
    <x v="2"/>
    <n v="12"/>
    <s v="December"/>
    <n v="65.8"/>
    <m/>
    <n v="1413.14"/>
    <m/>
    <n v="67.400000000000006"/>
  </r>
  <r>
    <x v="8"/>
    <x v="8"/>
    <n v="49.282699999999998"/>
    <n v="-123.1207"/>
    <x v="0"/>
    <n v="1"/>
    <s v="January"/>
    <n v="61.8"/>
    <m/>
    <n v="713.44"/>
    <m/>
    <n v="194"/>
  </r>
  <r>
    <x v="8"/>
    <x v="8"/>
    <n v="49.282699999999998"/>
    <n v="-123.1207"/>
    <x v="0"/>
    <n v="2"/>
    <s v="February"/>
    <n v="61.7"/>
    <m/>
    <n v="713.44"/>
    <m/>
    <n v="154"/>
  </r>
  <r>
    <x v="8"/>
    <x v="8"/>
    <n v="49.282699999999998"/>
    <n v="-123.1207"/>
    <x v="0"/>
    <n v="3"/>
    <s v="March"/>
    <n v="61.3"/>
    <m/>
    <n v="713.44"/>
    <m/>
    <n v="13"/>
  </r>
  <r>
    <x v="8"/>
    <x v="8"/>
    <n v="49.282699999999998"/>
    <n v="-123.1207"/>
    <x v="0"/>
    <n v="4"/>
    <s v="April"/>
    <n v="61.7"/>
    <m/>
    <n v="713.44"/>
    <m/>
    <n v="8"/>
  </r>
  <r>
    <x v="8"/>
    <x v="8"/>
    <n v="49.282699999999998"/>
    <n v="-123.1207"/>
    <x v="0"/>
    <n v="5"/>
    <s v="May"/>
    <n v="62.1"/>
    <m/>
    <n v="713.44"/>
    <m/>
    <n v="0"/>
  </r>
  <r>
    <x v="8"/>
    <x v="8"/>
    <n v="49.282699999999998"/>
    <n v="-123.1207"/>
    <x v="0"/>
    <n v="6"/>
    <s v="June"/>
    <n v="62.6"/>
    <m/>
    <n v="713.44"/>
    <m/>
    <n v="0"/>
  </r>
  <r>
    <x v="8"/>
    <x v="8"/>
    <n v="49.282699999999998"/>
    <n v="-123.1207"/>
    <x v="0"/>
    <n v="7"/>
    <s v="July"/>
    <n v="62.6"/>
    <m/>
    <n v="713.44"/>
    <m/>
    <n v="0"/>
  </r>
  <r>
    <x v="8"/>
    <x v="8"/>
    <n v="49.282699999999998"/>
    <n v="-123.1207"/>
    <x v="0"/>
    <n v="8"/>
    <s v="August"/>
    <n v="62.8"/>
    <m/>
    <n v="713.44"/>
    <m/>
    <n v="0"/>
  </r>
  <r>
    <x v="8"/>
    <x v="8"/>
    <n v="49.282699999999998"/>
    <n v="-123.1207"/>
    <x v="0"/>
    <n v="9"/>
    <s v="September"/>
    <n v="62.5"/>
    <m/>
    <n v="713.44"/>
    <m/>
    <n v="0"/>
  </r>
  <r>
    <x v="8"/>
    <x v="8"/>
    <n v="49.282699999999998"/>
    <n v="-123.1207"/>
    <x v="0"/>
    <n v="10"/>
    <s v="October"/>
    <n v="62.4"/>
    <m/>
    <n v="713.44"/>
    <m/>
    <n v="0"/>
  </r>
  <r>
    <x v="8"/>
    <x v="8"/>
    <n v="49.282699999999998"/>
    <n v="-123.1207"/>
    <x v="0"/>
    <n v="11"/>
    <s v="November"/>
    <n v="62.5"/>
    <m/>
    <n v="713.44"/>
    <m/>
    <n v="3"/>
  </r>
  <r>
    <x v="8"/>
    <x v="8"/>
    <n v="49.282699999999998"/>
    <n v="-123.1207"/>
    <x v="0"/>
    <n v="12"/>
    <s v="December"/>
    <n v="62.1"/>
    <m/>
    <n v="713.44"/>
    <m/>
    <n v="16"/>
  </r>
  <r>
    <x v="8"/>
    <x v="8"/>
    <n v="49.282699999999998"/>
    <n v="-123.1207"/>
    <x v="1"/>
    <n v="1"/>
    <s v="January"/>
    <n v="61.9"/>
    <m/>
    <n v="758.15"/>
    <m/>
    <n v="75.5"/>
  </r>
  <r>
    <x v="8"/>
    <x v="8"/>
    <n v="49.282699999999998"/>
    <n v="-123.1207"/>
    <x v="1"/>
    <n v="2"/>
    <s v="February"/>
    <n v="61.4"/>
    <m/>
    <n v="758.15"/>
    <m/>
    <n v="85.4"/>
  </r>
  <r>
    <x v="8"/>
    <x v="8"/>
    <n v="49.282699999999998"/>
    <n v="-123.1207"/>
    <x v="1"/>
    <n v="3"/>
    <s v="March"/>
    <n v="61.1"/>
    <m/>
    <n v="758.15"/>
    <m/>
    <n v="117.2"/>
  </r>
  <r>
    <x v="8"/>
    <x v="8"/>
    <n v="49.282699999999998"/>
    <n v="-123.1207"/>
    <x v="1"/>
    <n v="4"/>
    <s v="April"/>
    <n v="60.8"/>
    <m/>
    <n v="758.15"/>
    <m/>
    <n v="111.8"/>
  </r>
  <r>
    <x v="8"/>
    <x v="8"/>
    <n v="49.282699999999998"/>
    <n v="-123.1207"/>
    <x v="1"/>
    <n v="5"/>
    <s v="May"/>
    <n v="60.6"/>
    <m/>
    <n v="758.15"/>
    <m/>
    <n v="39.1"/>
  </r>
  <r>
    <x v="8"/>
    <x v="8"/>
    <n v="49.282699999999998"/>
    <n v="-123.1207"/>
    <x v="1"/>
    <n v="6"/>
    <s v="June"/>
    <n v="60.8"/>
    <m/>
    <n v="758.15"/>
    <m/>
    <n v="115.2"/>
  </r>
  <r>
    <x v="8"/>
    <x v="8"/>
    <n v="49.282699999999998"/>
    <n v="-123.1207"/>
    <x v="1"/>
    <n v="7"/>
    <s v="July"/>
    <n v="60.9"/>
    <m/>
    <n v="758.15"/>
    <m/>
    <n v="123.8"/>
  </r>
  <r>
    <x v="8"/>
    <x v="8"/>
    <n v="49.282699999999998"/>
    <n v="-123.1207"/>
    <x v="1"/>
    <n v="8"/>
    <s v="August"/>
    <n v="60.8"/>
    <m/>
    <n v="758.15"/>
    <m/>
    <n v="119"/>
  </r>
  <r>
    <x v="8"/>
    <x v="8"/>
    <n v="49.282699999999998"/>
    <n v="-123.1207"/>
    <x v="1"/>
    <n v="9"/>
    <s v="September"/>
    <n v="60.7"/>
    <m/>
    <n v="758.15"/>
    <m/>
    <n v="25.9"/>
  </r>
  <r>
    <x v="8"/>
    <x v="8"/>
    <n v="49.282699999999998"/>
    <n v="-123.1207"/>
    <x v="1"/>
    <n v="10"/>
    <s v="October"/>
    <n v="60.8"/>
    <m/>
    <n v="758.15"/>
    <m/>
    <n v="61.7"/>
  </r>
  <r>
    <x v="8"/>
    <x v="8"/>
    <n v="49.282699999999998"/>
    <n v="-123.1207"/>
    <x v="1"/>
    <n v="11"/>
    <s v="November"/>
    <n v="60.9"/>
    <m/>
    <n v="758.15"/>
    <m/>
    <n v="44.2"/>
  </r>
  <r>
    <x v="8"/>
    <x v="8"/>
    <n v="49.282699999999998"/>
    <n v="-123.1207"/>
    <x v="1"/>
    <n v="12"/>
    <s v="December"/>
    <n v="60.7"/>
    <m/>
    <m/>
    <m/>
    <n v="71.900000000000006"/>
  </r>
  <r>
    <x v="8"/>
    <x v="8"/>
    <n v="49.282699999999998"/>
    <n v="-123.1207"/>
    <x v="2"/>
    <n v="1"/>
    <s v="January"/>
    <n v="60.8"/>
    <m/>
    <n v="770.79"/>
    <m/>
    <n v="92.5"/>
  </r>
  <r>
    <x v="8"/>
    <x v="8"/>
    <n v="49.282699999999998"/>
    <n v="-123.1207"/>
    <x v="2"/>
    <n v="2"/>
    <s v="February"/>
    <n v="60.7"/>
    <m/>
    <n v="773.58"/>
    <m/>
    <n v="27"/>
  </r>
  <r>
    <x v="8"/>
    <x v="8"/>
    <n v="49.282699999999998"/>
    <n v="-123.1207"/>
    <x v="2"/>
    <n v="3"/>
    <s v="March"/>
    <n v="61.1"/>
    <m/>
    <n v="776.38"/>
    <m/>
    <n v="48.4"/>
  </r>
  <r>
    <x v="8"/>
    <x v="8"/>
    <n v="49.282699999999998"/>
    <n v="-123.1207"/>
    <x v="2"/>
    <n v="4"/>
    <s v="April"/>
    <n v="61.2"/>
    <m/>
    <n v="779.18"/>
    <m/>
    <n v="96.5"/>
  </r>
  <r>
    <x v="8"/>
    <x v="8"/>
    <n v="49.282699999999998"/>
    <n v="-123.1207"/>
    <x v="2"/>
    <n v="5"/>
    <s v="May"/>
    <n v="61.4"/>
    <m/>
    <n v="781.98"/>
    <m/>
    <n v="90.9"/>
  </r>
  <r>
    <x v="8"/>
    <x v="8"/>
    <n v="49.282699999999998"/>
    <n v="-123.1207"/>
    <x v="2"/>
    <n v="6"/>
    <s v="June"/>
    <n v="61.2"/>
    <m/>
    <n v="784.78"/>
    <m/>
    <n v="70.3"/>
  </r>
  <r>
    <x v="8"/>
    <x v="8"/>
    <n v="49.282699999999998"/>
    <n v="-123.1207"/>
    <x v="2"/>
    <n v="7"/>
    <s v="July"/>
    <n v="60.9"/>
    <m/>
    <n v="787.58"/>
    <m/>
    <n v="157"/>
  </r>
  <r>
    <x v="8"/>
    <x v="8"/>
    <n v="49.282699999999998"/>
    <n v="-123.1207"/>
    <x v="2"/>
    <n v="8"/>
    <s v="August"/>
    <n v="60.7"/>
    <m/>
    <n v="790.38"/>
    <m/>
    <n v="71.5"/>
  </r>
  <r>
    <x v="8"/>
    <x v="8"/>
    <n v="49.282699999999998"/>
    <n v="-123.1207"/>
    <x v="2"/>
    <n v="9"/>
    <s v="September"/>
    <n v="60.6"/>
    <m/>
    <n v="793.18"/>
    <m/>
    <n v="55.3"/>
  </r>
  <r>
    <x v="8"/>
    <x v="8"/>
    <n v="49.282699999999998"/>
    <n v="-123.1207"/>
    <x v="2"/>
    <n v="10"/>
    <s v="October"/>
    <n v="60.6"/>
    <m/>
    <n v="795.98"/>
    <m/>
    <n v="47.4"/>
  </r>
  <r>
    <x v="8"/>
    <x v="8"/>
    <n v="49.282699999999998"/>
    <n v="-123.1207"/>
    <x v="2"/>
    <n v="11"/>
    <s v="November"/>
    <n v="60.3"/>
    <m/>
    <n v="798.78"/>
    <m/>
    <n v="46.2"/>
  </r>
  <r>
    <x v="8"/>
    <x v="8"/>
    <n v="49.282699999999998"/>
    <n v="-123.1207"/>
    <x v="2"/>
    <n v="12"/>
    <s v="December"/>
    <n v="59.2"/>
    <m/>
    <n v="758.15"/>
    <m/>
    <n v="65.400000000000006"/>
  </r>
  <r>
    <x v="9"/>
    <x v="9"/>
    <n v="43.651000000000003"/>
    <n v="-79.346999999999994"/>
    <x v="0"/>
    <n v="1"/>
    <s v="January"/>
    <n v="63.9"/>
    <n v="140.2142857"/>
    <n v="1156.72"/>
    <n v="115.325"/>
    <n v="43.4"/>
  </r>
  <r>
    <x v="9"/>
    <x v="9"/>
    <n v="43.651000000000003"/>
    <n v="-79.346999999999994"/>
    <x v="0"/>
    <n v="2"/>
    <s v="February"/>
    <n v="63.8"/>
    <n v="140.2142857"/>
    <n v="1156.72"/>
    <n v="121.45"/>
    <n v="104.4"/>
  </r>
  <r>
    <x v="9"/>
    <x v="9"/>
    <n v="43.651000000000003"/>
    <n v="-79.346999999999994"/>
    <x v="0"/>
    <n v="3"/>
    <s v="March"/>
    <n v="63.7"/>
    <n v="140.2142857"/>
    <n v="1156.72"/>
    <n v="126.675"/>
    <n v="94.8"/>
  </r>
  <r>
    <x v="9"/>
    <x v="9"/>
    <n v="43.651000000000003"/>
    <n v="-79.346999999999994"/>
    <x v="0"/>
    <n v="4"/>
    <s v="April"/>
    <n v="63.9"/>
    <n v="140.2142857"/>
    <n v="1156.72"/>
    <n v="124.875"/>
    <n v="139.80000000000001"/>
  </r>
  <r>
    <x v="9"/>
    <x v="9"/>
    <n v="43.651000000000003"/>
    <n v="-79.346999999999994"/>
    <x v="0"/>
    <n v="5"/>
    <s v="May"/>
    <n v="63.9"/>
    <n v="140.2142857"/>
    <n v="1156.72"/>
    <n v="128.75"/>
    <n v="58"/>
  </r>
  <r>
    <x v="9"/>
    <x v="9"/>
    <n v="43.651000000000003"/>
    <n v="-79.346999999999994"/>
    <x v="0"/>
    <n v="6"/>
    <s v="June"/>
    <n v="63.8"/>
    <n v="140.2142857"/>
    <n v="1156.72"/>
    <n v="132.27500000000001"/>
    <n v="173"/>
  </r>
  <r>
    <x v="9"/>
    <x v="9"/>
    <n v="43.651000000000003"/>
    <n v="-79.346999999999994"/>
    <x v="0"/>
    <n v="7"/>
    <s v="July"/>
    <n v="63.9"/>
    <n v="140.2142857"/>
    <n v="1156.72"/>
    <n v="135.25"/>
    <n v="73.599999999999994"/>
  </r>
  <r>
    <x v="9"/>
    <x v="9"/>
    <n v="43.651000000000003"/>
    <n v="-79.346999999999994"/>
    <x v="0"/>
    <n v="8"/>
    <s v="August"/>
    <n v="64"/>
    <n v="140.2142857"/>
    <n v="1156.72"/>
    <n v="136.17500000000001"/>
    <n v="99.1"/>
  </r>
  <r>
    <x v="9"/>
    <x v="9"/>
    <n v="43.651000000000003"/>
    <n v="-79.346999999999994"/>
    <x v="0"/>
    <n v="9"/>
    <s v="September"/>
    <n v="64.099999999999994"/>
    <n v="140.2142857"/>
    <n v="1156.72"/>
    <n v="139.82499999999999"/>
    <n v="113.8"/>
  </r>
  <r>
    <x v="9"/>
    <x v="9"/>
    <n v="43.651000000000003"/>
    <n v="-79.346999999999994"/>
    <x v="0"/>
    <n v="10"/>
    <s v="October"/>
    <n v="64.400000000000006"/>
    <n v="140.2142857"/>
    <n v="1156.72"/>
    <n v="149.6"/>
    <n v="39.799999999999997"/>
  </r>
  <r>
    <x v="9"/>
    <x v="9"/>
    <n v="43.651000000000003"/>
    <n v="-79.346999999999994"/>
    <x v="0"/>
    <n v="11"/>
    <s v="November"/>
    <n v="64.5"/>
    <n v="140.2142857"/>
    <n v="1156.72"/>
    <n v="153.19999999999999"/>
    <n v="117.3"/>
  </r>
  <r>
    <x v="9"/>
    <x v="9"/>
    <n v="43.651000000000003"/>
    <n v="-79.346999999999994"/>
    <x v="0"/>
    <n v="12"/>
    <s v="December"/>
    <n v="64.900000000000006"/>
    <n v="140.2142857"/>
    <n v="1156.72"/>
    <n v="150.5"/>
    <n v="126"/>
  </r>
  <r>
    <x v="9"/>
    <x v="9"/>
    <n v="43.651000000000003"/>
    <n v="-79.346999999999994"/>
    <x v="1"/>
    <n v="1"/>
    <s v="January"/>
    <n v="65.400000000000006"/>
    <n v="144.125"/>
    <n v="1217.92"/>
    <n v="176.45"/>
    <n v="94.8"/>
  </r>
  <r>
    <x v="9"/>
    <x v="9"/>
    <n v="43.651000000000003"/>
    <n v="-79.346999999999994"/>
    <x v="1"/>
    <n v="2"/>
    <s v="February"/>
    <n v="65.599999999999994"/>
    <n v="144.125"/>
    <n v="1217.92"/>
    <n v="181.65"/>
    <n v="42.2"/>
  </r>
  <r>
    <x v="9"/>
    <x v="9"/>
    <n v="43.651000000000003"/>
    <n v="-79.346999999999994"/>
    <x v="1"/>
    <n v="3"/>
    <s v="March"/>
    <n v="65.599999999999994"/>
    <n v="144.125"/>
    <n v="1217.92"/>
    <n v="193.47499999999999"/>
    <n v="27"/>
  </r>
  <r>
    <x v="9"/>
    <x v="9"/>
    <n v="43.651000000000003"/>
    <n v="-79.346999999999994"/>
    <x v="1"/>
    <n v="4"/>
    <s v="April"/>
    <n v="65.5"/>
    <n v="144.125"/>
    <n v="1217.92"/>
    <n v="195.35"/>
    <n v="0"/>
  </r>
  <r>
    <x v="9"/>
    <x v="9"/>
    <n v="43.651000000000003"/>
    <n v="-79.346999999999994"/>
    <x v="1"/>
    <n v="5"/>
    <s v="May"/>
    <n v="65.7"/>
    <n v="144.125"/>
    <n v="1217.92"/>
    <n v="227.125"/>
    <n v="0"/>
  </r>
  <r>
    <x v="9"/>
    <x v="9"/>
    <n v="43.651000000000003"/>
    <n v="-79.346999999999994"/>
    <x v="1"/>
    <n v="6"/>
    <s v="June"/>
    <n v="65.8"/>
    <n v="144.125"/>
    <n v="1217.92"/>
    <n v="226.17500000000001"/>
    <n v="0"/>
  </r>
  <r>
    <x v="9"/>
    <x v="9"/>
    <n v="43.651000000000003"/>
    <n v="-79.346999999999994"/>
    <x v="1"/>
    <n v="7"/>
    <s v="July"/>
    <n v="65.5"/>
    <n v="144.125"/>
    <n v="1217.92"/>
    <n v="208.82499999999999"/>
    <n v="0"/>
  </r>
  <r>
    <x v="9"/>
    <x v="9"/>
    <n v="43.651000000000003"/>
    <n v="-79.346999999999994"/>
    <x v="1"/>
    <n v="8"/>
    <s v="August"/>
    <n v="65.3"/>
    <n v="144.125"/>
    <n v="1217.92"/>
    <n v="196.82499999999999"/>
    <n v="0"/>
  </r>
  <r>
    <x v="9"/>
    <x v="9"/>
    <n v="43.651000000000003"/>
    <n v="-79.346999999999994"/>
    <x v="1"/>
    <n v="9"/>
    <s v="September"/>
    <n v="65.2"/>
    <n v="144.125"/>
    <n v="1217.92"/>
    <n v="182.75"/>
    <n v="0"/>
  </r>
  <r>
    <x v="9"/>
    <x v="9"/>
    <n v="43.651000000000003"/>
    <n v="-79.346999999999994"/>
    <x v="1"/>
    <n v="10"/>
    <s v="October"/>
    <n v="64.8"/>
    <n v="144.125"/>
    <n v="1217.92"/>
    <n v="200.15"/>
    <n v="7.4"/>
  </r>
  <r>
    <x v="9"/>
    <x v="9"/>
    <n v="43.651000000000003"/>
    <n v="-79.346999999999994"/>
    <x v="1"/>
    <n v="11"/>
    <s v="November"/>
    <n v="64.5"/>
    <n v="144.125"/>
    <n v="1217.92"/>
    <n v="212.97499999999999"/>
    <n v="7.8"/>
  </r>
  <r>
    <x v="9"/>
    <x v="9"/>
    <n v="43.651000000000003"/>
    <n v="-79.346999999999994"/>
    <x v="1"/>
    <n v="12"/>
    <s v="December"/>
    <n v="63.9"/>
    <n v="144.125"/>
    <m/>
    <n v="192.15"/>
    <n v="41.4"/>
  </r>
  <r>
    <x v="9"/>
    <x v="9"/>
    <n v="43.651000000000003"/>
    <n v="-79.346999999999994"/>
    <x v="2"/>
    <n v="1"/>
    <s v="January"/>
    <n v="63.6"/>
    <m/>
    <n v="1235.22"/>
    <n v="190.57499999999999"/>
    <n v="90.4"/>
  </r>
  <r>
    <x v="9"/>
    <x v="9"/>
    <n v="43.651000000000003"/>
    <n v="-79.346999999999994"/>
    <x v="2"/>
    <n v="2"/>
    <s v="February"/>
    <n v="63.2"/>
    <m/>
    <n v="1239.05"/>
    <n v="191.92500000000001"/>
    <n v="32.799999999999997"/>
  </r>
  <r>
    <x v="9"/>
    <x v="9"/>
    <n v="43.651000000000003"/>
    <n v="-79.346999999999994"/>
    <x v="2"/>
    <n v="3"/>
    <s v="March"/>
    <n v="62.8"/>
    <m/>
    <n v="1242.8800000000001"/>
    <n v="188.25"/>
    <n v="59.8"/>
  </r>
  <r>
    <x v="9"/>
    <x v="9"/>
    <n v="43.651000000000003"/>
    <n v="-79.346999999999994"/>
    <x v="2"/>
    <n v="4"/>
    <s v="April"/>
    <n v="62.6"/>
    <m/>
    <n v="1246.71"/>
    <n v="174.8"/>
    <n v="141.5"/>
  </r>
  <r>
    <x v="9"/>
    <x v="9"/>
    <n v="43.651000000000003"/>
    <n v="-79.346999999999994"/>
    <x v="2"/>
    <n v="5"/>
    <s v="May"/>
    <n v="62.3"/>
    <m/>
    <n v="1250.54"/>
    <n v="166.07499999999999"/>
    <n v="72"/>
  </r>
  <r>
    <x v="9"/>
    <x v="9"/>
    <n v="43.651000000000003"/>
    <n v="-79.346999999999994"/>
    <x v="2"/>
    <n v="6"/>
    <s v="June"/>
    <n v="62.1"/>
    <m/>
    <n v="1254.3699999999999"/>
    <n v="166.05"/>
    <n v="122"/>
  </r>
  <r>
    <x v="9"/>
    <x v="9"/>
    <n v="43.651000000000003"/>
    <n v="-79.346999999999994"/>
    <x v="2"/>
    <n v="7"/>
    <s v="July"/>
    <n v="62"/>
    <m/>
    <n v="1258.21"/>
    <n v="174.17500000000001"/>
    <n v="124"/>
  </r>
  <r>
    <x v="9"/>
    <x v="9"/>
    <n v="43.651000000000003"/>
    <n v="-79.346999999999994"/>
    <x v="2"/>
    <n v="8"/>
    <s v="August"/>
    <n v="62.1"/>
    <m/>
    <n v="1262.04"/>
    <n v="188.875"/>
    <n v="238.7"/>
  </r>
  <r>
    <x v="9"/>
    <x v="9"/>
    <n v="43.651000000000003"/>
    <n v="-79.346999999999994"/>
    <x v="2"/>
    <n v="9"/>
    <s v="September"/>
    <n v="62.3"/>
    <m/>
    <n v="1265.8699999999999"/>
    <n v="194.25"/>
    <n v="53.4"/>
  </r>
  <r>
    <x v="9"/>
    <x v="9"/>
    <n v="43.651000000000003"/>
    <n v="-79.346999999999994"/>
    <x v="2"/>
    <n v="10"/>
    <s v="October"/>
    <n v="62.5"/>
    <m/>
    <n v="1269.7"/>
    <n v="186.7"/>
    <n v="25"/>
  </r>
  <r>
    <x v="9"/>
    <x v="9"/>
    <n v="43.651000000000003"/>
    <n v="-79.346999999999994"/>
    <x v="2"/>
    <n v="11"/>
    <s v="November"/>
    <n v="62.6"/>
    <m/>
    <n v="1273.53"/>
    <n v="184.57499999999999"/>
    <n v="49.6"/>
  </r>
  <r>
    <x v="9"/>
    <x v="9"/>
    <n v="43.651000000000003"/>
    <n v="-79.346999999999994"/>
    <x v="2"/>
    <n v="12"/>
    <s v="December"/>
    <n v="62.7"/>
    <m/>
    <n v="1217.92"/>
    <n v="179.47499999999999"/>
    <n v="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76AB7-3B0E-294A-AD0A-8F6A2393F0F0}" name="PivotTable1" cacheId="9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4" firstHeaderRow="0" firstDataRow="1" firstDataCol="1"/>
  <pivotFields count="1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0"/>
        <item x="1"/>
        <item x="2"/>
        <item x="5"/>
        <item x="6"/>
        <item x="7"/>
        <item x="9"/>
        <item x="8"/>
        <item x="3"/>
        <item x="4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0"/>
    <field x="1"/>
    <field x="4"/>
  </rowFields>
  <rowItems count="51">
    <i>
      <x/>
    </i>
    <i r="1">
      <x/>
    </i>
    <i r="2">
      <x/>
    </i>
    <i r="2">
      <x v="1"/>
    </i>
    <i r="2">
      <x v="2"/>
    </i>
    <i>
      <x v="1"/>
    </i>
    <i r="1">
      <x v="1"/>
    </i>
    <i r="2">
      <x/>
    </i>
    <i r="2">
      <x v="1"/>
    </i>
    <i r="2">
      <x v="2"/>
    </i>
    <i>
      <x v="2"/>
    </i>
    <i r="1">
      <x v="2"/>
    </i>
    <i r="2">
      <x/>
    </i>
    <i r="2">
      <x v="1"/>
    </i>
    <i r="2">
      <x v="2"/>
    </i>
    <i>
      <x v="3"/>
    </i>
    <i r="1">
      <x v="8"/>
    </i>
    <i r="2">
      <x/>
    </i>
    <i r="2">
      <x v="1"/>
    </i>
    <i r="2">
      <x v="2"/>
    </i>
    <i>
      <x v="4"/>
    </i>
    <i r="1">
      <x v="9"/>
    </i>
    <i r="2">
      <x/>
    </i>
    <i r="2">
      <x v="1"/>
    </i>
    <i r="2">
      <x v="2"/>
    </i>
    <i>
      <x v="5"/>
    </i>
    <i r="1">
      <x v="3"/>
    </i>
    <i r="2">
      <x/>
    </i>
    <i r="2">
      <x v="1"/>
    </i>
    <i r="2">
      <x v="2"/>
    </i>
    <i>
      <x v="6"/>
    </i>
    <i r="1">
      <x v="4"/>
    </i>
    <i r="2">
      <x/>
    </i>
    <i r="2">
      <x v="1"/>
    </i>
    <i r="2">
      <x v="2"/>
    </i>
    <i>
      <x v="7"/>
    </i>
    <i r="1">
      <x v="5"/>
    </i>
    <i r="2">
      <x/>
    </i>
    <i r="2">
      <x v="1"/>
    </i>
    <i r="2">
      <x v="2"/>
    </i>
    <i>
      <x v="8"/>
    </i>
    <i r="1">
      <x v="7"/>
    </i>
    <i r="2">
      <x/>
    </i>
    <i r="2">
      <x v="1"/>
    </i>
    <i r="2">
      <x v="2"/>
    </i>
    <i>
      <x v="9"/>
    </i>
    <i r="1">
      <x v="6"/>
    </i>
    <i r="2">
      <x/>
    </i>
    <i r="2">
      <x v="1"/>
    </i>
    <i r="2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loyment_Rate" fld="7" baseField="0" baseItem="0"/>
    <dataField name="Sum of Average_Rent_Cpi" fld="8" baseField="0" baseItem="0"/>
    <dataField name="Sum of Violent_Crimes_Rate_Per_100K" fld="9" baseField="0" baseItem="0"/>
    <dataField name="Sum of Gas_Price_Cents" fld="10" baseField="0" baseItem="0"/>
    <dataField name="Sum of Total_Precip_M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4ABCF-6C95-924B-ACE6-235C0C609437}" name="PivotTable2" cacheId="9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4" firstHeaderRow="0" firstDataRow="1" firstDataCol="1"/>
  <pivotFields count="1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0"/>
        <item x="1"/>
        <item x="2"/>
        <item x="5"/>
        <item x="6"/>
        <item x="7"/>
        <item x="9"/>
        <item x="8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1">
    <i>
      <x/>
    </i>
    <i r="1">
      <x/>
    </i>
    <i>
      <x v="1"/>
    </i>
    <i r="1">
      <x v="1"/>
    </i>
    <i>
      <x v="2"/>
    </i>
    <i r="1">
      <x v="2"/>
    </i>
    <i>
      <x v="3"/>
    </i>
    <i r="1">
      <x v="8"/>
    </i>
    <i>
      <x v="4"/>
    </i>
    <i r="1">
      <x v="9"/>
    </i>
    <i>
      <x v="5"/>
    </i>
    <i r="1">
      <x v="3"/>
    </i>
    <i>
      <x v="6"/>
    </i>
    <i r="1">
      <x v="4"/>
    </i>
    <i>
      <x v="7"/>
    </i>
    <i r="1">
      <x v="5"/>
    </i>
    <i>
      <x v="8"/>
    </i>
    <i r="1">
      <x v="7"/>
    </i>
    <i>
      <x v="9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loyment_Rate" fld="7" baseField="0" baseItem="0"/>
    <dataField name="Sum of Average_Rent_Cpi" fld="8" baseField="0" baseItem="0"/>
    <dataField name="Sum of Violent_Crimes_Rate_Per_100K" fld="9" baseField="0" baseItem="0"/>
    <dataField name="Sum of Gas_Price_Cents" fld="10" baseField="0" baseItem="0"/>
    <dataField name="Sum of Total_Precip_M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0AE21-FA3A-C040-8ADE-E601FBBE5EDD}" name="PivotTable3" cacheId="9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G13" firstHeaderRow="0" firstDataRow="1" firstDataCol="2"/>
  <pivotFields count="12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1"/>
        <item x="2"/>
        <item x="5"/>
        <item x="6"/>
        <item x="7"/>
        <item x="9"/>
        <item x="8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10">
    <i>
      <x/>
      <x/>
    </i>
    <i>
      <x v="1"/>
      <x v="1"/>
    </i>
    <i>
      <x v="2"/>
      <x v="2"/>
    </i>
    <i>
      <x v="3"/>
      <x v="8"/>
    </i>
    <i>
      <x v="4"/>
      <x v="9"/>
    </i>
    <i>
      <x v="5"/>
      <x v="3"/>
    </i>
    <i>
      <x v="6"/>
      <x v="4"/>
    </i>
    <i>
      <x v="7"/>
      <x v="5"/>
    </i>
    <i>
      <x v="8"/>
      <x v="7"/>
    </i>
    <i>
      <x v="9"/>
      <x v="6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loyment_Rate" fld="7" baseField="0" baseItem="0"/>
    <dataField name="Sum of Average_Rent_Cpi" fld="8" baseField="0" baseItem="0"/>
    <dataField name="Sum of Violent_Crimes_Rate_Per_100K" fld="9" baseField="0" baseItem="0"/>
    <dataField name="Sum of Gas_Price_Cents" fld="10" baseField="0" baseItem="0"/>
    <dataField name="Sum of Total_Precip_M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5B15A-8F02-004E-A2FD-C733545A7C25}" name="PivotTable4" cacheId="9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G13" firstHeaderRow="0" firstDataRow="1" firstDataCol="2"/>
  <pivotFields count="12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1"/>
        <item x="2"/>
        <item x="5"/>
        <item x="6"/>
        <item x="7"/>
        <item x="9"/>
        <item x="8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10">
    <i>
      <x/>
      <x/>
    </i>
    <i>
      <x v="1"/>
      <x v="1"/>
    </i>
    <i>
      <x v="2"/>
      <x v="2"/>
    </i>
    <i>
      <x v="3"/>
      <x v="8"/>
    </i>
    <i>
      <x v="4"/>
      <x v="9"/>
    </i>
    <i>
      <x v="5"/>
      <x v="3"/>
    </i>
    <i>
      <x v="6"/>
      <x v="4"/>
    </i>
    <i>
      <x v="7"/>
      <x v="5"/>
    </i>
    <i>
      <x v="8"/>
      <x v="7"/>
    </i>
    <i>
      <x v="9"/>
      <x v="6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mployment_Rate" fld="7" baseField="0" baseItem="0"/>
    <dataField name="Sum of Violent_Crimes_Rate_Per_100K" fld="9" baseField="0" baseItem="0"/>
    <dataField name="Sum of Average_Rent_Cpi" fld="8" baseField="0" baseItem="0"/>
    <dataField name="Sum of Gas_Price_Cents" fld="10" baseField="0" baseItem="0"/>
    <dataField name="Sum of Total_Precip_M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AC3-0FEC-A641-97A4-D3369C21C0EE}">
  <dimension ref="A1:D48"/>
  <sheetViews>
    <sheetView workbookViewId="0">
      <selection activeCell="D26" sqref="D26"/>
    </sheetView>
  </sheetViews>
  <sheetFormatPr defaultColWidth="11" defaultRowHeight="15.75"/>
  <cols>
    <col min="2" max="2" width="51.875" bestFit="1" customWidth="1"/>
    <col min="3" max="3" width="58.875" bestFit="1" customWidth="1"/>
    <col min="4" max="4" width="19.375" bestFit="1" customWidth="1"/>
  </cols>
  <sheetData>
    <row r="1" spans="1:4" ht="18.75">
      <c r="A1" s="2" t="s">
        <v>0</v>
      </c>
      <c r="B1" s="3"/>
      <c r="C1" s="3" t="s">
        <v>1</v>
      </c>
      <c r="D1" s="3"/>
    </row>
    <row r="2" spans="1:4">
      <c r="A2" s="3"/>
      <c r="B2" s="3"/>
      <c r="C2" s="3"/>
      <c r="D2" s="3"/>
    </row>
    <row r="3" spans="1:4">
      <c r="A3" s="4" t="s">
        <v>2</v>
      </c>
      <c r="B3" s="3"/>
      <c r="C3" s="3"/>
      <c r="D3" s="3"/>
    </row>
    <row r="4" spans="1:4">
      <c r="A4" s="3"/>
      <c r="B4" s="3" t="s">
        <v>3</v>
      </c>
      <c r="C4" s="5" t="s">
        <v>4</v>
      </c>
      <c r="D4" s="3"/>
    </row>
    <row r="5" spans="1:4">
      <c r="A5" s="3"/>
      <c r="B5" s="3" t="s">
        <v>5</v>
      </c>
      <c r="C5" s="3" t="s">
        <v>6</v>
      </c>
      <c r="D5" s="3"/>
    </row>
    <row r="6" spans="1:4">
      <c r="A6" s="3"/>
      <c r="B6" s="3" t="s">
        <v>7</v>
      </c>
      <c r="C6" s="6">
        <v>45846</v>
      </c>
      <c r="D6" s="3"/>
    </row>
    <row r="7" spans="1:4">
      <c r="A7" s="3"/>
      <c r="B7" s="3" t="s">
        <v>8</v>
      </c>
      <c r="C7" s="6" t="s">
        <v>9</v>
      </c>
      <c r="D7" s="3"/>
    </row>
    <row r="8" spans="1:4">
      <c r="A8" s="3"/>
      <c r="B8" s="3" t="s">
        <v>10</v>
      </c>
      <c r="C8" s="3" t="s">
        <v>11</v>
      </c>
      <c r="D8" s="3"/>
    </row>
    <row r="9" spans="1:4">
      <c r="A9" s="3"/>
      <c r="B9" s="3" t="s">
        <v>12</v>
      </c>
      <c r="C9" s="6" t="s">
        <v>13</v>
      </c>
      <c r="D9" s="3"/>
    </row>
    <row r="10" spans="1:4">
      <c r="A10" s="3"/>
      <c r="B10" s="3"/>
      <c r="C10" s="6" t="s">
        <v>14</v>
      </c>
      <c r="D10" s="3"/>
    </row>
    <row r="11" spans="1:4">
      <c r="A11" s="3"/>
      <c r="B11" s="3"/>
      <c r="C11" s="6"/>
      <c r="D11" s="3"/>
    </row>
    <row r="12" spans="1:4">
      <c r="A12" s="4" t="s">
        <v>15</v>
      </c>
      <c r="B12" s="3"/>
      <c r="C12" s="3"/>
      <c r="D12" s="3"/>
    </row>
    <row r="13" spans="1:4">
      <c r="A13" s="3">
        <v>1</v>
      </c>
      <c r="B13" t="s">
        <v>16</v>
      </c>
      <c r="C13" s="5"/>
      <c r="D13" s="3"/>
    </row>
    <row r="14" spans="1:4">
      <c r="A14" s="3">
        <v>2</v>
      </c>
      <c r="B14" t="s">
        <v>17</v>
      </c>
      <c r="C14" s="5"/>
      <c r="D14" s="3"/>
    </row>
    <row r="15" spans="1:4">
      <c r="A15" s="3"/>
      <c r="B15" s="3"/>
      <c r="C15" s="5"/>
      <c r="D15" s="3"/>
    </row>
    <row r="16" spans="1:4">
      <c r="A16" s="4" t="s">
        <v>18</v>
      </c>
      <c r="B16" s="3"/>
      <c r="C16" s="3"/>
      <c r="D16" s="3"/>
    </row>
    <row r="17" spans="1:4">
      <c r="A17" s="7" t="s">
        <v>19</v>
      </c>
      <c r="B17" s="7" t="s">
        <v>20</v>
      </c>
      <c r="C17" s="7" t="s">
        <v>21</v>
      </c>
      <c r="D17" s="7" t="s">
        <v>22</v>
      </c>
    </row>
    <row r="18" spans="1:4" ht="47.25">
      <c r="A18" s="5">
        <v>1</v>
      </c>
      <c r="B18" s="5" t="s">
        <v>23</v>
      </c>
      <c r="C18" s="8">
        <v>45846</v>
      </c>
      <c r="D18" s="14" t="s">
        <v>24</v>
      </c>
    </row>
    <row r="19" spans="1:4" ht="47.25">
      <c r="A19" s="5">
        <v>2</v>
      </c>
      <c r="B19" s="5" t="s">
        <v>23</v>
      </c>
      <c r="C19" s="8">
        <v>45846</v>
      </c>
      <c r="D19" s="14" t="s">
        <v>25</v>
      </c>
    </row>
    <row r="20" spans="1:4" ht="31.5">
      <c r="A20" s="5">
        <v>3</v>
      </c>
      <c r="B20" s="5" t="s">
        <v>23</v>
      </c>
      <c r="C20" s="8">
        <v>45846</v>
      </c>
      <c r="D20" s="14" t="s">
        <v>26</v>
      </c>
    </row>
    <row r="21" spans="1:4">
      <c r="A21" s="5">
        <v>4</v>
      </c>
      <c r="B21" s="5" t="s">
        <v>27</v>
      </c>
      <c r="C21" s="8">
        <v>45855</v>
      </c>
      <c r="D21" s="14" t="s">
        <v>28</v>
      </c>
    </row>
    <row r="22" spans="1:4" ht="63">
      <c r="A22" s="5">
        <v>5</v>
      </c>
      <c r="B22" s="5" t="s">
        <v>29</v>
      </c>
      <c r="C22" s="8">
        <v>45856</v>
      </c>
      <c r="D22" s="14" t="s">
        <v>30</v>
      </c>
    </row>
    <row r="23" spans="1:4" ht="31.5">
      <c r="A23" s="5">
        <v>6</v>
      </c>
      <c r="B23" s="5" t="s">
        <v>31</v>
      </c>
      <c r="C23" s="8">
        <v>45857</v>
      </c>
      <c r="D23" s="14" t="s">
        <v>32</v>
      </c>
    </row>
    <row r="24" spans="1:4">
      <c r="A24" s="3"/>
      <c r="B24" s="3"/>
      <c r="C24" s="3"/>
      <c r="D24" s="3"/>
    </row>
    <row r="25" spans="1:4">
      <c r="A25" s="4" t="s">
        <v>33</v>
      </c>
      <c r="B25" s="3"/>
      <c r="C25" s="3"/>
      <c r="D25" s="3"/>
    </row>
    <row r="26" spans="1:4">
      <c r="A26" s="3">
        <v>1</v>
      </c>
      <c r="B26" s="3" t="s">
        <v>34</v>
      </c>
      <c r="C26" s="3" t="s">
        <v>35</v>
      </c>
      <c r="D26" s="3"/>
    </row>
    <row r="27" spans="1:4">
      <c r="A27" s="3">
        <v>2</v>
      </c>
      <c r="B27" s="3" t="s">
        <v>36</v>
      </c>
      <c r="C27" s="3" t="s">
        <v>37</v>
      </c>
      <c r="D27" s="3"/>
    </row>
    <row r="28" spans="1:4">
      <c r="A28" s="3">
        <v>3</v>
      </c>
      <c r="B28" s="9" t="s">
        <v>38</v>
      </c>
      <c r="C28" s="3" t="s">
        <v>37</v>
      </c>
      <c r="D28" s="3"/>
    </row>
    <row r="29" spans="1:4">
      <c r="A29" s="3">
        <v>4</v>
      </c>
      <c r="B29" s="3" t="s">
        <v>39</v>
      </c>
      <c r="C29" s="3" t="s">
        <v>40</v>
      </c>
      <c r="D29" s="3"/>
    </row>
    <row r="30" spans="1:4">
      <c r="A30" s="3">
        <v>6</v>
      </c>
      <c r="B30" s="9" t="s">
        <v>41</v>
      </c>
      <c r="C30" s="3" t="s">
        <v>42</v>
      </c>
      <c r="D30" s="3"/>
    </row>
    <row r="31" spans="1:4">
      <c r="A31" s="3">
        <v>7</v>
      </c>
      <c r="B31" s="9" t="s">
        <v>43</v>
      </c>
      <c r="C31" s="3" t="s">
        <v>44</v>
      </c>
      <c r="D31" s="3"/>
    </row>
    <row r="32" spans="1:4">
      <c r="A32" s="3"/>
      <c r="B32" s="3"/>
      <c r="C32" s="3"/>
      <c r="D32" s="3"/>
    </row>
    <row r="33" spans="1:4">
      <c r="A33" s="4" t="s">
        <v>45</v>
      </c>
      <c r="B33" s="3"/>
      <c r="C33" s="3"/>
      <c r="D33" s="3"/>
    </row>
    <row r="34" spans="1:4">
      <c r="A34" s="7" t="s">
        <v>19</v>
      </c>
      <c r="B34" s="7" t="s">
        <v>46</v>
      </c>
      <c r="C34" s="7" t="s">
        <v>47</v>
      </c>
      <c r="D34" s="7" t="s">
        <v>48</v>
      </c>
    </row>
    <row r="35" spans="1:4">
      <c r="A35" s="10">
        <v>1</v>
      </c>
      <c r="B35" s="11" t="s">
        <v>49</v>
      </c>
      <c r="C35" s="3" t="s">
        <v>50</v>
      </c>
      <c r="D35" s="3" t="s">
        <v>51</v>
      </c>
    </row>
    <row r="36" spans="1:4">
      <c r="A36" s="10">
        <v>2</v>
      </c>
      <c r="B36" s="13" t="s">
        <v>52</v>
      </c>
      <c r="C36" s="3" t="s">
        <v>53</v>
      </c>
      <c r="D36" s="3" t="s">
        <v>54</v>
      </c>
    </row>
    <row r="37" spans="1:4">
      <c r="A37" s="10">
        <v>3</v>
      </c>
      <c r="B37" s="13" t="s">
        <v>55</v>
      </c>
      <c r="C37" s="3" t="s">
        <v>56</v>
      </c>
      <c r="D37" s="3" t="s">
        <v>54</v>
      </c>
    </row>
    <row r="38" spans="1:4">
      <c r="A38" s="10">
        <v>4</v>
      </c>
      <c r="B38" s="13" t="s">
        <v>57</v>
      </c>
      <c r="C38" s="3" t="s">
        <v>58</v>
      </c>
      <c r="D38" s="3" t="s">
        <v>54</v>
      </c>
    </row>
    <row r="39" spans="1:4">
      <c r="A39" s="10">
        <v>5</v>
      </c>
      <c r="B39" s="13" t="s">
        <v>59</v>
      </c>
      <c r="C39" s="3" t="s">
        <v>60</v>
      </c>
      <c r="D39" s="3" t="s">
        <v>54</v>
      </c>
    </row>
    <row r="40" spans="1:4">
      <c r="A40" s="10">
        <v>6</v>
      </c>
      <c r="B40" s="13" t="s">
        <v>61</v>
      </c>
      <c r="C40" s="3" t="s">
        <v>62</v>
      </c>
      <c r="D40" s="3" t="s">
        <v>54</v>
      </c>
    </row>
    <row r="41" spans="1:4">
      <c r="A41" s="10"/>
      <c r="B41" s="12"/>
      <c r="C41" s="3"/>
      <c r="D41" s="3"/>
    </row>
    <row r="42" spans="1:4">
      <c r="A42" s="10"/>
      <c r="B42" s="11"/>
      <c r="C42" s="3"/>
      <c r="D42" s="3"/>
    </row>
    <row r="43" spans="1:4">
      <c r="A43" s="10"/>
      <c r="B43" s="11"/>
      <c r="C43" s="3"/>
      <c r="D43" s="3"/>
    </row>
    <row r="44" spans="1:4">
      <c r="A44" s="10"/>
      <c r="B44" s="11"/>
      <c r="C44" s="3"/>
      <c r="D44" s="3"/>
    </row>
    <row r="45" spans="1:4">
      <c r="A45" s="10"/>
      <c r="B45" s="11"/>
      <c r="C45" s="3"/>
      <c r="D45" s="3"/>
    </row>
    <row r="46" spans="1:4">
      <c r="A46" s="10"/>
      <c r="B46" s="11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</sheetData>
  <phoneticPr fontId="13" type="noConversion"/>
  <hyperlinks>
    <hyperlink ref="B35" location="ReadMeFirst!A1" display="ReadMeFirst" xr:uid="{023616B2-6D9C-DC4F-B6BE-AD7C844BBBDD}"/>
    <hyperlink ref="B36" location="'Final Dataset'!A1" display="Final Dataset" xr:uid="{C398970F-8574-5A45-840C-9468B191723C}"/>
    <hyperlink ref="B37" location="'Part 1 Cities+Year'!A1" display="Part 1 Cities+Year" xr:uid="{C666A493-223C-5746-AD29-BA045E7B17F2}"/>
    <hyperlink ref="B38" location="'Part 2 Cities'!A1" display="Part 2 Cities" xr:uid="{951D394C-8B0A-F146-A205-17B6D66DAB02}"/>
    <hyperlink ref="B39" location="'Part 3 Cities Tabular'!A1" display="Part 3 Cities Tabular" xr:uid="{023DD2BC-49A0-0441-89B1-5AA73A1961D4}"/>
    <hyperlink ref="B40" location="'Part 4 Cities Tabular and Rank'!A1" display="Part 4 Cities Tabular and Rank" xr:uid="{607A0650-8EFC-8D4C-919D-4FAD0B4657CC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CF95-82BB-004B-9BCC-FDF60312B894}">
  <dimension ref="A1:L367"/>
  <sheetViews>
    <sheetView tabSelected="1" zoomScale="112" zoomScaleNormal="112" workbookViewId="0">
      <selection activeCell="A7" sqref="A7"/>
    </sheetView>
  </sheetViews>
  <sheetFormatPr defaultColWidth="11" defaultRowHeight="15.75"/>
  <cols>
    <col min="2" max="2" width="15.125" customWidth="1"/>
    <col min="4" max="4" width="12.125" bestFit="1" customWidth="1"/>
    <col min="5" max="5" width="13.625" customWidth="1"/>
    <col min="6" max="6" width="10.625" customWidth="1"/>
    <col min="7" max="7" width="12.875" customWidth="1"/>
    <col min="8" max="9" width="16.375" bestFit="1" customWidth="1"/>
    <col min="10" max="10" width="27.875" bestFit="1" customWidth="1"/>
    <col min="11" max="11" width="15.5" bestFit="1" customWidth="1"/>
    <col min="12" max="12" width="15.375" bestFit="1" customWidth="1"/>
  </cols>
  <sheetData>
    <row r="1" spans="1:12" s="1" customFormat="1">
      <c r="A1" s="23" t="s">
        <v>63</v>
      </c>
      <c r="B1" s="23"/>
      <c r="C1" s="23"/>
      <c r="D1" s="23"/>
      <c r="E1" s="23"/>
    </row>
    <row r="7" spans="1:12" s="1" customFormat="1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</row>
    <row r="8" spans="1:12">
      <c r="A8">
        <v>73</v>
      </c>
      <c r="B8" t="s">
        <v>76</v>
      </c>
      <c r="C8">
        <v>51.044699999999999</v>
      </c>
      <c r="D8">
        <v>-114.0719</v>
      </c>
      <c r="E8">
        <v>2022</v>
      </c>
      <c r="F8">
        <v>1</v>
      </c>
      <c r="G8" t="s">
        <v>77</v>
      </c>
      <c r="H8">
        <v>65.599999999999994</v>
      </c>
      <c r="I8">
        <v>151.0571429</v>
      </c>
      <c r="J8">
        <v>1012.59</v>
      </c>
      <c r="K8">
        <v>144.15</v>
      </c>
      <c r="L8">
        <v>3.4</v>
      </c>
    </row>
    <row r="9" spans="1:12">
      <c r="A9">
        <v>73</v>
      </c>
      <c r="B9" t="s">
        <v>76</v>
      </c>
      <c r="C9">
        <v>51.044699999999999</v>
      </c>
      <c r="D9">
        <v>-114.0719</v>
      </c>
      <c r="E9">
        <v>2022</v>
      </c>
      <c r="F9">
        <v>2</v>
      </c>
      <c r="G9" t="s">
        <v>78</v>
      </c>
      <c r="H9">
        <v>66.7</v>
      </c>
      <c r="I9">
        <v>151.0571429</v>
      </c>
      <c r="J9">
        <v>1012.59</v>
      </c>
      <c r="K9">
        <v>154.19999999999999</v>
      </c>
      <c r="L9">
        <v>24.2</v>
      </c>
    </row>
    <row r="10" spans="1:12">
      <c r="A10">
        <v>73</v>
      </c>
      <c r="B10" t="s">
        <v>76</v>
      </c>
      <c r="C10">
        <v>51.044699999999999</v>
      </c>
      <c r="D10">
        <v>-114.0719</v>
      </c>
      <c r="E10">
        <v>2022</v>
      </c>
      <c r="F10">
        <v>3</v>
      </c>
      <c r="G10" t="s">
        <v>79</v>
      </c>
      <c r="H10">
        <v>66.900000000000006</v>
      </c>
      <c r="I10">
        <v>151.0571429</v>
      </c>
      <c r="J10">
        <v>1012.59</v>
      </c>
      <c r="K10">
        <v>125.2333333</v>
      </c>
      <c r="L10">
        <v>9.3000000000000007</v>
      </c>
    </row>
    <row r="11" spans="1:12">
      <c r="A11">
        <v>73</v>
      </c>
      <c r="B11" t="s">
        <v>76</v>
      </c>
      <c r="C11">
        <v>51.044699999999999</v>
      </c>
      <c r="D11">
        <v>-114.0719</v>
      </c>
      <c r="E11">
        <v>2022</v>
      </c>
      <c r="F11">
        <v>4</v>
      </c>
      <c r="G11" t="s">
        <v>80</v>
      </c>
      <c r="H11">
        <v>67.099999999999994</v>
      </c>
      <c r="I11">
        <v>151.0571429</v>
      </c>
      <c r="J11">
        <v>1012.59</v>
      </c>
      <c r="K11">
        <v>130.4</v>
      </c>
      <c r="L11">
        <v>40.6</v>
      </c>
    </row>
    <row r="12" spans="1:12">
      <c r="A12">
        <v>73</v>
      </c>
      <c r="B12" t="s">
        <v>76</v>
      </c>
      <c r="C12">
        <v>51.044699999999999</v>
      </c>
      <c r="D12">
        <v>-114.0719</v>
      </c>
      <c r="E12">
        <v>2022</v>
      </c>
      <c r="F12">
        <v>5</v>
      </c>
      <c r="G12" t="s">
        <v>81</v>
      </c>
      <c r="H12">
        <v>67.2</v>
      </c>
      <c r="I12">
        <v>151.0571429</v>
      </c>
      <c r="J12">
        <v>1012.59</v>
      </c>
      <c r="K12">
        <v>133.96666669999999</v>
      </c>
      <c r="L12">
        <v>12.1</v>
      </c>
    </row>
    <row r="13" spans="1:12">
      <c r="A13">
        <v>73</v>
      </c>
      <c r="B13" t="s">
        <v>76</v>
      </c>
      <c r="C13">
        <v>51.044699999999999</v>
      </c>
      <c r="D13">
        <v>-114.0719</v>
      </c>
      <c r="E13">
        <v>2022</v>
      </c>
      <c r="F13">
        <v>6</v>
      </c>
      <c r="G13" t="s">
        <v>82</v>
      </c>
      <c r="H13">
        <v>67.8</v>
      </c>
      <c r="I13">
        <v>151.0571429</v>
      </c>
      <c r="J13">
        <v>1012.59</v>
      </c>
      <c r="K13">
        <v>136.06666670000001</v>
      </c>
      <c r="L13">
        <v>137.9</v>
      </c>
    </row>
    <row r="14" spans="1:12">
      <c r="A14">
        <v>73</v>
      </c>
      <c r="B14" t="s">
        <v>76</v>
      </c>
      <c r="C14">
        <v>51.044699999999999</v>
      </c>
      <c r="D14">
        <v>-114.0719</v>
      </c>
      <c r="E14">
        <v>2022</v>
      </c>
      <c r="F14">
        <v>7</v>
      </c>
      <c r="G14" t="s">
        <v>83</v>
      </c>
      <c r="H14">
        <v>68.3</v>
      </c>
      <c r="I14">
        <v>151.0571429</v>
      </c>
      <c r="J14">
        <v>1012.59</v>
      </c>
      <c r="K14">
        <v>139.3666667</v>
      </c>
      <c r="L14">
        <v>64.099999999999994</v>
      </c>
    </row>
    <row r="15" spans="1:12">
      <c r="A15">
        <v>73</v>
      </c>
      <c r="B15" t="s">
        <v>76</v>
      </c>
      <c r="C15">
        <v>51.044699999999999</v>
      </c>
      <c r="D15">
        <v>-114.0719</v>
      </c>
      <c r="E15">
        <v>2022</v>
      </c>
      <c r="F15">
        <v>8</v>
      </c>
      <c r="G15" t="s">
        <v>84</v>
      </c>
      <c r="H15">
        <v>68.400000000000006</v>
      </c>
      <c r="I15">
        <v>151.0571429</v>
      </c>
      <c r="J15">
        <v>1012.59</v>
      </c>
      <c r="K15">
        <v>139.3666667</v>
      </c>
      <c r="L15">
        <v>30.1</v>
      </c>
    </row>
    <row r="16" spans="1:12">
      <c r="A16">
        <v>73</v>
      </c>
      <c r="B16" t="s">
        <v>76</v>
      </c>
      <c r="C16">
        <v>51.044699999999999</v>
      </c>
      <c r="D16">
        <v>-114.0719</v>
      </c>
      <c r="E16">
        <v>2022</v>
      </c>
      <c r="F16">
        <v>9</v>
      </c>
      <c r="G16" t="s">
        <v>85</v>
      </c>
      <c r="H16">
        <v>68.099999999999994</v>
      </c>
      <c r="I16">
        <v>151.0571429</v>
      </c>
      <c r="J16">
        <v>1012.59</v>
      </c>
      <c r="K16">
        <v>138.2666667</v>
      </c>
      <c r="L16">
        <v>10.8</v>
      </c>
    </row>
    <row r="17" spans="1:12">
      <c r="A17">
        <v>73</v>
      </c>
      <c r="B17" t="s">
        <v>76</v>
      </c>
      <c r="C17">
        <v>51.044699999999999</v>
      </c>
      <c r="D17">
        <v>-114.0719</v>
      </c>
      <c r="E17">
        <v>2022</v>
      </c>
      <c r="F17">
        <v>10</v>
      </c>
      <c r="G17" t="s">
        <v>86</v>
      </c>
      <c r="H17">
        <v>67.900000000000006</v>
      </c>
      <c r="I17">
        <v>151.0571429</v>
      </c>
      <c r="J17">
        <v>1012.59</v>
      </c>
      <c r="K17">
        <v>147.83333329999999</v>
      </c>
      <c r="L17">
        <v>29.3</v>
      </c>
    </row>
    <row r="18" spans="1:12">
      <c r="A18">
        <v>73</v>
      </c>
      <c r="B18" t="s">
        <v>76</v>
      </c>
      <c r="C18">
        <v>51.044699999999999</v>
      </c>
      <c r="D18">
        <v>-114.0719</v>
      </c>
      <c r="E18">
        <v>2022</v>
      </c>
      <c r="F18">
        <v>11</v>
      </c>
      <c r="G18" t="s">
        <v>87</v>
      </c>
      <c r="H18">
        <v>67.5</v>
      </c>
      <c r="I18">
        <v>151.0571429</v>
      </c>
      <c r="J18">
        <v>1012.59</v>
      </c>
      <c r="K18">
        <v>147.96666669999999</v>
      </c>
      <c r="L18">
        <v>32.5</v>
      </c>
    </row>
    <row r="19" spans="1:12">
      <c r="A19">
        <v>73</v>
      </c>
      <c r="B19" t="s">
        <v>76</v>
      </c>
      <c r="C19">
        <v>51.044699999999999</v>
      </c>
      <c r="D19">
        <v>-114.0719</v>
      </c>
      <c r="E19">
        <v>2022</v>
      </c>
      <c r="F19">
        <v>12</v>
      </c>
      <c r="G19" t="s">
        <v>88</v>
      </c>
      <c r="H19">
        <v>67</v>
      </c>
      <c r="I19">
        <v>155.4</v>
      </c>
      <c r="J19">
        <v>1012.59</v>
      </c>
      <c r="K19">
        <v>146.33333329999999</v>
      </c>
      <c r="L19">
        <v>19.100000000000001</v>
      </c>
    </row>
    <row r="20" spans="1:12">
      <c r="A20">
        <v>73</v>
      </c>
      <c r="B20" t="s">
        <v>76</v>
      </c>
      <c r="C20">
        <v>51.044699999999999</v>
      </c>
      <c r="D20">
        <v>-114.0719</v>
      </c>
      <c r="E20">
        <v>2023</v>
      </c>
      <c r="F20">
        <v>1</v>
      </c>
      <c r="G20" t="s">
        <v>77</v>
      </c>
      <c r="H20">
        <v>66.3</v>
      </c>
      <c r="I20">
        <v>155.4</v>
      </c>
      <c r="J20">
        <v>1061.44</v>
      </c>
      <c r="K20">
        <v>170.75</v>
      </c>
      <c r="L20">
        <v>18.3</v>
      </c>
    </row>
    <row r="21" spans="1:12">
      <c r="A21">
        <v>73</v>
      </c>
      <c r="B21" t="s">
        <v>76</v>
      </c>
      <c r="C21">
        <v>51.044699999999999</v>
      </c>
      <c r="D21">
        <v>-114.0719</v>
      </c>
      <c r="E21">
        <v>2023</v>
      </c>
      <c r="F21">
        <v>2</v>
      </c>
      <c r="G21" t="s">
        <v>78</v>
      </c>
      <c r="H21">
        <v>65.900000000000006</v>
      </c>
      <c r="I21">
        <v>155.4</v>
      </c>
      <c r="J21">
        <v>1061.44</v>
      </c>
      <c r="K21">
        <v>166.67500000000001</v>
      </c>
      <c r="L21">
        <v>29.8</v>
      </c>
    </row>
    <row r="22" spans="1:12">
      <c r="A22">
        <v>73</v>
      </c>
      <c r="B22" t="s">
        <v>76</v>
      </c>
      <c r="C22">
        <v>51.044699999999999</v>
      </c>
      <c r="D22">
        <v>-114.0719</v>
      </c>
      <c r="E22">
        <v>2023</v>
      </c>
      <c r="F22">
        <v>3</v>
      </c>
      <c r="G22" t="s">
        <v>79</v>
      </c>
      <c r="H22">
        <v>66</v>
      </c>
      <c r="I22">
        <v>155.4</v>
      </c>
      <c r="J22">
        <v>1061.44</v>
      </c>
      <c r="K22">
        <v>161.65</v>
      </c>
      <c r="L22">
        <v>19.600000000000001</v>
      </c>
    </row>
    <row r="23" spans="1:12">
      <c r="A23">
        <v>73</v>
      </c>
      <c r="B23" t="s">
        <v>76</v>
      </c>
      <c r="C23">
        <v>51.044699999999999</v>
      </c>
      <c r="D23">
        <v>-114.0719</v>
      </c>
      <c r="E23">
        <v>2023</v>
      </c>
      <c r="F23">
        <v>4</v>
      </c>
      <c r="G23" t="s">
        <v>80</v>
      </c>
      <c r="H23">
        <v>66.599999999999994</v>
      </c>
      <c r="I23">
        <v>155.4</v>
      </c>
      <c r="J23">
        <v>1061.44</v>
      </c>
      <c r="K23">
        <v>169.56666670000001</v>
      </c>
      <c r="L23">
        <v>6.1</v>
      </c>
    </row>
    <row r="24" spans="1:12">
      <c r="A24">
        <v>73</v>
      </c>
      <c r="B24" t="s">
        <v>76</v>
      </c>
      <c r="C24">
        <v>51.044699999999999</v>
      </c>
      <c r="D24">
        <v>-114.0719</v>
      </c>
      <c r="E24">
        <v>2023</v>
      </c>
      <c r="F24">
        <v>5</v>
      </c>
      <c r="G24" t="s">
        <v>81</v>
      </c>
      <c r="H24">
        <v>67.099999999999994</v>
      </c>
      <c r="I24">
        <v>155.4</v>
      </c>
      <c r="J24">
        <v>1061.44</v>
      </c>
      <c r="K24">
        <v>181.4</v>
      </c>
      <c r="L24">
        <v>30.4</v>
      </c>
    </row>
    <row r="25" spans="1:12">
      <c r="A25">
        <v>73</v>
      </c>
      <c r="B25" t="s">
        <v>76</v>
      </c>
      <c r="C25">
        <v>51.044699999999999</v>
      </c>
      <c r="D25">
        <v>-114.0719</v>
      </c>
      <c r="E25">
        <v>2023</v>
      </c>
      <c r="F25">
        <v>6</v>
      </c>
      <c r="G25" t="s">
        <v>82</v>
      </c>
      <c r="H25">
        <v>67.400000000000006</v>
      </c>
      <c r="I25">
        <v>155.4</v>
      </c>
      <c r="J25">
        <v>1061.44</v>
      </c>
      <c r="K25">
        <v>199.6333333</v>
      </c>
      <c r="L25">
        <v>70.099999999999994</v>
      </c>
    </row>
    <row r="26" spans="1:12">
      <c r="A26">
        <v>73</v>
      </c>
      <c r="B26" t="s">
        <v>76</v>
      </c>
      <c r="C26">
        <v>51.044699999999999</v>
      </c>
      <c r="D26">
        <v>-114.0719</v>
      </c>
      <c r="E26">
        <v>2023</v>
      </c>
      <c r="F26">
        <v>7</v>
      </c>
      <c r="G26" t="s">
        <v>83</v>
      </c>
      <c r="H26">
        <v>67.099999999999994</v>
      </c>
      <c r="I26">
        <v>155.4</v>
      </c>
      <c r="J26">
        <v>1061.44</v>
      </c>
      <c r="K26">
        <v>189.6</v>
      </c>
      <c r="L26">
        <v>42.9</v>
      </c>
    </row>
    <row r="27" spans="1:12">
      <c r="A27">
        <v>73</v>
      </c>
      <c r="B27" t="s">
        <v>76</v>
      </c>
      <c r="C27">
        <v>51.044699999999999</v>
      </c>
      <c r="D27">
        <v>-114.0719</v>
      </c>
      <c r="E27">
        <v>2023</v>
      </c>
      <c r="F27">
        <v>8</v>
      </c>
      <c r="G27" t="s">
        <v>84</v>
      </c>
      <c r="H27">
        <v>67.5</v>
      </c>
      <c r="I27">
        <v>155.4</v>
      </c>
      <c r="J27">
        <v>1061.44</v>
      </c>
      <c r="K27">
        <v>166.4</v>
      </c>
      <c r="L27">
        <v>50.7</v>
      </c>
    </row>
    <row r="28" spans="1:12">
      <c r="A28">
        <v>73</v>
      </c>
      <c r="B28" t="s">
        <v>76</v>
      </c>
      <c r="C28">
        <v>51.044699999999999</v>
      </c>
      <c r="D28">
        <v>-114.0719</v>
      </c>
      <c r="E28">
        <v>2023</v>
      </c>
      <c r="F28">
        <v>9</v>
      </c>
      <c r="G28" t="s">
        <v>85</v>
      </c>
      <c r="H28">
        <v>66.900000000000006</v>
      </c>
      <c r="I28">
        <v>155.4</v>
      </c>
      <c r="J28">
        <v>1061.44</v>
      </c>
      <c r="K28">
        <v>161.30000000000001</v>
      </c>
      <c r="L28">
        <v>18.8</v>
      </c>
    </row>
    <row r="29" spans="1:12">
      <c r="A29">
        <v>73</v>
      </c>
      <c r="B29" t="s">
        <v>76</v>
      </c>
      <c r="C29">
        <v>51.044699999999999</v>
      </c>
      <c r="D29">
        <v>-114.0719</v>
      </c>
      <c r="E29">
        <v>2023</v>
      </c>
      <c r="F29">
        <v>10</v>
      </c>
      <c r="G29" t="s">
        <v>86</v>
      </c>
      <c r="H29">
        <v>66.599999999999994</v>
      </c>
      <c r="I29">
        <v>155.4</v>
      </c>
      <c r="J29">
        <v>1061.44</v>
      </c>
      <c r="K29">
        <v>182.5</v>
      </c>
      <c r="L29">
        <v>36.799999999999997</v>
      </c>
    </row>
    <row r="30" spans="1:12">
      <c r="A30">
        <v>73</v>
      </c>
      <c r="B30" t="s">
        <v>76</v>
      </c>
      <c r="C30">
        <v>51.044699999999999</v>
      </c>
      <c r="D30">
        <v>-114.0719</v>
      </c>
      <c r="E30">
        <v>2023</v>
      </c>
      <c r="F30">
        <v>11</v>
      </c>
      <c r="G30" t="s">
        <v>87</v>
      </c>
      <c r="H30">
        <v>65.8</v>
      </c>
      <c r="I30">
        <v>155.4</v>
      </c>
      <c r="J30">
        <v>1061.44</v>
      </c>
      <c r="K30">
        <v>172.1333333</v>
      </c>
      <c r="L30">
        <v>3.4</v>
      </c>
    </row>
    <row r="31" spans="1:12">
      <c r="A31">
        <v>73</v>
      </c>
      <c r="B31" t="s">
        <v>76</v>
      </c>
      <c r="C31">
        <v>51.044699999999999</v>
      </c>
      <c r="D31">
        <v>-114.0719</v>
      </c>
      <c r="E31">
        <v>2023</v>
      </c>
      <c r="F31">
        <v>12</v>
      </c>
      <c r="G31" t="s">
        <v>88</v>
      </c>
      <c r="H31">
        <v>65.8</v>
      </c>
      <c r="I31">
        <v>155.4</v>
      </c>
      <c r="J31">
        <v>1061.44</v>
      </c>
      <c r="K31">
        <v>151.33333329999999</v>
      </c>
      <c r="L31">
        <v>21.1</v>
      </c>
    </row>
    <row r="32" spans="1:12">
      <c r="A32">
        <v>73</v>
      </c>
      <c r="B32" t="s">
        <v>76</v>
      </c>
      <c r="C32">
        <v>51.044699999999999</v>
      </c>
      <c r="D32">
        <v>-114.0719</v>
      </c>
      <c r="E32">
        <v>2024</v>
      </c>
      <c r="F32">
        <v>1</v>
      </c>
      <c r="G32" t="s">
        <v>77</v>
      </c>
      <c r="H32">
        <v>66.2</v>
      </c>
      <c r="J32">
        <v>1075.25</v>
      </c>
      <c r="K32">
        <v>149.7333333</v>
      </c>
      <c r="L32">
        <v>27.9</v>
      </c>
    </row>
    <row r="33" spans="1:12">
      <c r="A33">
        <v>73</v>
      </c>
      <c r="B33" t="s">
        <v>76</v>
      </c>
      <c r="C33">
        <v>51.044699999999999</v>
      </c>
      <c r="D33">
        <v>-114.0719</v>
      </c>
      <c r="E33">
        <v>2024</v>
      </c>
      <c r="F33">
        <v>2</v>
      </c>
      <c r="G33" t="s">
        <v>78</v>
      </c>
      <c r="H33">
        <v>66</v>
      </c>
      <c r="J33">
        <v>1078.3</v>
      </c>
      <c r="K33">
        <v>142.1333333</v>
      </c>
      <c r="L33">
        <v>18.3</v>
      </c>
    </row>
    <row r="34" spans="1:12">
      <c r="A34">
        <v>73</v>
      </c>
      <c r="B34" t="s">
        <v>76</v>
      </c>
      <c r="C34">
        <v>51.044699999999999</v>
      </c>
      <c r="D34">
        <v>-114.0719</v>
      </c>
      <c r="E34">
        <v>2024</v>
      </c>
      <c r="F34">
        <v>3</v>
      </c>
      <c r="G34" t="s">
        <v>79</v>
      </c>
      <c r="H34">
        <v>66.5</v>
      </c>
      <c r="J34">
        <v>1081.3599999999999</v>
      </c>
      <c r="K34">
        <v>144</v>
      </c>
      <c r="L34">
        <v>57.1</v>
      </c>
    </row>
    <row r="35" spans="1:12">
      <c r="A35">
        <v>73</v>
      </c>
      <c r="B35" t="s">
        <v>76</v>
      </c>
      <c r="C35">
        <v>51.044699999999999</v>
      </c>
      <c r="D35">
        <v>-114.0719</v>
      </c>
      <c r="E35">
        <v>2024</v>
      </c>
      <c r="F35">
        <v>4</v>
      </c>
      <c r="G35" t="s">
        <v>80</v>
      </c>
      <c r="H35">
        <v>66.3</v>
      </c>
      <c r="J35">
        <v>1084.42</v>
      </c>
      <c r="K35">
        <v>152.03333330000001</v>
      </c>
      <c r="L35">
        <v>48.4</v>
      </c>
    </row>
    <row r="36" spans="1:12">
      <c r="A36">
        <v>73</v>
      </c>
      <c r="B36" t="s">
        <v>76</v>
      </c>
      <c r="C36">
        <v>51.044699999999999</v>
      </c>
      <c r="D36">
        <v>-114.0719</v>
      </c>
      <c r="E36">
        <v>2024</v>
      </c>
      <c r="F36">
        <v>5</v>
      </c>
      <c r="G36" t="s">
        <v>81</v>
      </c>
      <c r="H36">
        <v>66.599999999999994</v>
      </c>
      <c r="J36">
        <v>1087.48</v>
      </c>
      <c r="K36">
        <v>151</v>
      </c>
      <c r="L36">
        <v>61.7</v>
      </c>
    </row>
    <row r="37" spans="1:12">
      <c r="A37">
        <v>73</v>
      </c>
      <c r="B37" t="s">
        <v>76</v>
      </c>
      <c r="C37">
        <v>51.044699999999999</v>
      </c>
      <c r="D37">
        <v>-114.0719</v>
      </c>
      <c r="E37">
        <v>2024</v>
      </c>
      <c r="F37">
        <v>6</v>
      </c>
      <c r="G37" t="s">
        <v>82</v>
      </c>
      <c r="H37">
        <v>66.099999999999994</v>
      </c>
      <c r="J37">
        <v>1090.54</v>
      </c>
      <c r="K37">
        <v>148.46666669999999</v>
      </c>
      <c r="L37">
        <v>83.3</v>
      </c>
    </row>
    <row r="38" spans="1:12">
      <c r="A38">
        <v>73</v>
      </c>
      <c r="B38" t="s">
        <v>76</v>
      </c>
      <c r="C38">
        <v>51.044699999999999</v>
      </c>
      <c r="D38">
        <v>-114.0719</v>
      </c>
      <c r="E38">
        <v>2024</v>
      </c>
      <c r="F38">
        <v>7</v>
      </c>
      <c r="G38" t="s">
        <v>83</v>
      </c>
      <c r="H38">
        <v>65.8</v>
      </c>
      <c r="J38">
        <v>1093.5999999999999</v>
      </c>
      <c r="K38">
        <v>146.9</v>
      </c>
      <c r="L38">
        <v>46</v>
      </c>
    </row>
    <row r="39" spans="1:12">
      <c r="A39">
        <v>73</v>
      </c>
      <c r="B39" t="s">
        <v>76</v>
      </c>
      <c r="C39">
        <v>51.044699999999999</v>
      </c>
      <c r="D39">
        <v>-114.0719</v>
      </c>
      <c r="E39">
        <v>2024</v>
      </c>
      <c r="F39">
        <v>8</v>
      </c>
      <c r="G39" t="s">
        <v>84</v>
      </c>
      <c r="H39">
        <v>65.8</v>
      </c>
      <c r="J39">
        <v>1096.6500000000001</v>
      </c>
      <c r="K39">
        <v>158.1333333</v>
      </c>
      <c r="L39">
        <v>86.4</v>
      </c>
    </row>
    <row r="40" spans="1:12">
      <c r="A40">
        <v>73</v>
      </c>
      <c r="B40" t="s">
        <v>76</v>
      </c>
      <c r="C40">
        <v>51.044699999999999</v>
      </c>
      <c r="D40">
        <v>-114.0719</v>
      </c>
      <c r="E40">
        <v>2024</v>
      </c>
      <c r="F40">
        <v>9</v>
      </c>
      <c r="G40" t="s">
        <v>85</v>
      </c>
      <c r="H40">
        <v>65.400000000000006</v>
      </c>
      <c r="J40">
        <v>1099.71</v>
      </c>
      <c r="K40">
        <v>157.7333333</v>
      </c>
      <c r="L40">
        <v>74</v>
      </c>
    </row>
    <row r="41" spans="1:12">
      <c r="A41">
        <v>73</v>
      </c>
      <c r="B41" t="s">
        <v>76</v>
      </c>
      <c r="C41">
        <v>51.044699999999999</v>
      </c>
      <c r="D41">
        <v>-114.0719</v>
      </c>
      <c r="E41">
        <v>2024</v>
      </c>
      <c r="F41">
        <v>10</v>
      </c>
      <c r="G41" t="s">
        <v>86</v>
      </c>
      <c r="H41">
        <v>65.2</v>
      </c>
      <c r="J41">
        <v>1102.77</v>
      </c>
      <c r="K41">
        <v>155.03333330000001</v>
      </c>
      <c r="L41">
        <v>0.9</v>
      </c>
    </row>
    <row r="42" spans="1:12">
      <c r="A42">
        <v>73</v>
      </c>
      <c r="B42" t="s">
        <v>76</v>
      </c>
      <c r="C42">
        <v>51.044699999999999</v>
      </c>
      <c r="D42">
        <v>-114.0719</v>
      </c>
      <c r="E42">
        <v>2024</v>
      </c>
      <c r="F42">
        <v>11</v>
      </c>
      <c r="G42" t="s">
        <v>87</v>
      </c>
      <c r="H42">
        <v>64.599999999999994</v>
      </c>
      <c r="J42">
        <v>1105.83</v>
      </c>
      <c r="K42">
        <v>150.9</v>
      </c>
      <c r="L42">
        <v>38.200000000000003</v>
      </c>
    </row>
    <row r="43" spans="1:12">
      <c r="A43">
        <v>73</v>
      </c>
      <c r="B43" t="s">
        <v>76</v>
      </c>
      <c r="C43">
        <v>51.044699999999999</v>
      </c>
      <c r="D43">
        <v>-114.0719</v>
      </c>
      <c r="E43">
        <v>2024</v>
      </c>
      <c r="F43">
        <v>12</v>
      </c>
      <c r="G43" t="s">
        <v>88</v>
      </c>
      <c r="H43">
        <v>65.2</v>
      </c>
      <c r="J43">
        <v>1108.8900000000001</v>
      </c>
      <c r="K43">
        <v>139</v>
      </c>
      <c r="L43">
        <v>5.6</v>
      </c>
    </row>
    <row r="44" spans="1:12">
      <c r="A44">
        <v>74</v>
      </c>
      <c r="B44" t="s">
        <v>89</v>
      </c>
      <c r="C44">
        <v>53.546100000000003</v>
      </c>
      <c r="D44">
        <v>-113.49379999999999</v>
      </c>
      <c r="E44">
        <v>2022</v>
      </c>
      <c r="F44">
        <v>1</v>
      </c>
      <c r="G44" t="s">
        <v>77</v>
      </c>
      <c r="H44">
        <v>66.400000000000006</v>
      </c>
      <c r="I44">
        <v>150.42857140000001</v>
      </c>
      <c r="J44">
        <v>1414.75</v>
      </c>
      <c r="K44">
        <v>109.2</v>
      </c>
      <c r="L44">
        <v>28.3</v>
      </c>
    </row>
    <row r="45" spans="1:12">
      <c r="A45">
        <v>74</v>
      </c>
      <c r="B45" t="s">
        <v>89</v>
      </c>
      <c r="C45">
        <v>53.546100000000003</v>
      </c>
      <c r="D45">
        <v>-113.49379999999999</v>
      </c>
      <c r="E45">
        <v>2022</v>
      </c>
      <c r="F45">
        <v>2</v>
      </c>
      <c r="G45" t="s">
        <v>78</v>
      </c>
      <c r="H45">
        <v>65.8</v>
      </c>
      <c r="I45">
        <v>150.42857140000001</v>
      </c>
      <c r="J45">
        <v>1414.75</v>
      </c>
      <c r="K45">
        <v>116.2333333</v>
      </c>
      <c r="L45">
        <v>14.2</v>
      </c>
    </row>
    <row r="46" spans="1:12">
      <c r="A46">
        <v>74</v>
      </c>
      <c r="B46" t="s">
        <v>89</v>
      </c>
      <c r="C46">
        <v>53.546100000000003</v>
      </c>
      <c r="D46">
        <v>-113.49379999999999</v>
      </c>
      <c r="E46">
        <v>2022</v>
      </c>
      <c r="F46">
        <v>3</v>
      </c>
      <c r="G46" t="s">
        <v>79</v>
      </c>
      <c r="H46">
        <v>65.5</v>
      </c>
      <c r="I46">
        <v>150.42857140000001</v>
      </c>
      <c r="J46">
        <v>1414.75</v>
      </c>
      <c r="K46">
        <v>122.2</v>
      </c>
      <c r="L46">
        <v>23.4</v>
      </c>
    </row>
    <row r="47" spans="1:12">
      <c r="A47">
        <v>74</v>
      </c>
      <c r="B47" t="s">
        <v>89</v>
      </c>
      <c r="C47">
        <v>53.546100000000003</v>
      </c>
      <c r="D47">
        <v>-113.49379999999999</v>
      </c>
      <c r="E47">
        <v>2022</v>
      </c>
      <c r="F47">
        <v>4</v>
      </c>
      <c r="G47" t="s">
        <v>80</v>
      </c>
      <c r="H47">
        <v>65.5</v>
      </c>
      <c r="I47">
        <v>150.42857140000001</v>
      </c>
      <c r="J47">
        <v>1414.75</v>
      </c>
      <c r="K47">
        <v>127</v>
      </c>
      <c r="L47">
        <v>24.9</v>
      </c>
    </row>
    <row r="48" spans="1:12">
      <c r="A48">
        <v>74</v>
      </c>
      <c r="B48" t="s">
        <v>89</v>
      </c>
      <c r="C48">
        <v>53.546100000000003</v>
      </c>
      <c r="D48">
        <v>-113.49379999999999</v>
      </c>
      <c r="E48">
        <v>2022</v>
      </c>
      <c r="F48">
        <v>5</v>
      </c>
      <c r="G48" t="s">
        <v>81</v>
      </c>
      <c r="H48">
        <v>65.7</v>
      </c>
      <c r="I48">
        <v>150.42857140000001</v>
      </c>
      <c r="J48">
        <v>1414.75</v>
      </c>
      <c r="K48">
        <v>130.1</v>
      </c>
      <c r="L48">
        <v>32.700000000000003</v>
      </c>
    </row>
    <row r="49" spans="1:12">
      <c r="A49">
        <v>74</v>
      </c>
      <c r="B49" t="s">
        <v>89</v>
      </c>
      <c r="C49">
        <v>53.546100000000003</v>
      </c>
      <c r="D49">
        <v>-113.49379999999999</v>
      </c>
      <c r="E49">
        <v>2022</v>
      </c>
      <c r="F49">
        <v>6</v>
      </c>
      <c r="G49" t="s">
        <v>82</v>
      </c>
      <c r="H49">
        <v>65.7</v>
      </c>
      <c r="I49">
        <v>150.42857140000001</v>
      </c>
      <c r="J49">
        <v>1414.75</v>
      </c>
      <c r="K49">
        <v>131.9</v>
      </c>
      <c r="L49">
        <v>145.80000000000001</v>
      </c>
    </row>
    <row r="50" spans="1:12">
      <c r="A50">
        <v>74</v>
      </c>
      <c r="B50" t="s">
        <v>89</v>
      </c>
      <c r="C50">
        <v>53.546100000000003</v>
      </c>
      <c r="D50">
        <v>-113.49379999999999</v>
      </c>
      <c r="E50">
        <v>2022</v>
      </c>
      <c r="F50">
        <v>7</v>
      </c>
      <c r="G50" t="s">
        <v>83</v>
      </c>
      <c r="H50">
        <v>65.599999999999994</v>
      </c>
      <c r="I50">
        <v>150.42857140000001</v>
      </c>
      <c r="J50">
        <v>1414.75</v>
      </c>
      <c r="K50">
        <v>136.6</v>
      </c>
      <c r="L50">
        <v>65.400000000000006</v>
      </c>
    </row>
    <row r="51" spans="1:12">
      <c r="A51">
        <v>74</v>
      </c>
      <c r="B51" t="s">
        <v>89</v>
      </c>
      <c r="C51">
        <v>53.546100000000003</v>
      </c>
      <c r="D51">
        <v>-113.49379999999999</v>
      </c>
      <c r="E51">
        <v>2022</v>
      </c>
      <c r="F51">
        <v>8</v>
      </c>
      <c r="G51" t="s">
        <v>84</v>
      </c>
      <c r="H51">
        <v>65.7</v>
      </c>
      <c r="I51">
        <v>150.42857140000001</v>
      </c>
      <c r="J51">
        <v>1414.75</v>
      </c>
      <c r="K51">
        <v>136.1333333</v>
      </c>
      <c r="L51">
        <v>18.899999999999999</v>
      </c>
    </row>
    <row r="52" spans="1:12">
      <c r="A52">
        <v>74</v>
      </c>
      <c r="B52" t="s">
        <v>89</v>
      </c>
      <c r="C52">
        <v>53.546100000000003</v>
      </c>
      <c r="D52">
        <v>-113.49379999999999</v>
      </c>
      <c r="E52">
        <v>2022</v>
      </c>
      <c r="F52">
        <v>9</v>
      </c>
      <c r="G52" t="s">
        <v>85</v>
      </c>
      <c r="H52">
        <v>65.599999999999994</v>
      </c>
      <c r="I52">
        <v>150.42857140000001</v>
      </c>
      <c r="J52">
        <v>1414.75</v>
      </c>
      <c r="K52">
        <v>134.69999999999999</v>
      </c>
      <c r="L52">
        <v>15.1</v>
      </c>
    </row>
    <row r="53" spans="1:12">
      <c r="A53">
        <v>74</v>
      </c>
      <c r="B53" t="s">
        <v>89</v>
      </c>
      <c r="C53">
        <v>53.546100000000003</v>
      </c>
      <c r="D53">
        <v>-113.49379999999999</v>
      </c>
      <c r="E53">
        <v>2022</v>
      </c>
      <c r="F53">
        <v>10</v>
      </c>
      <c r="G53" t="s">
        <v>86</v>
      </c>
      <c r="H53">
        <v>65.400000000000006</v>
      </c>
      <c r="I53">
        <v>150.42857140000001</v>
      </c>
      <c r="J53">
        <v>1414.75</v>
      </c>
      <c r="K53">
        <v>144.19999999999999</v>
      </c>
      <c r="L53">
        <v>4.0999999999999996</v>
      </c>
    </row>
    <row r="54" spans="1:12">
      <c r="A54">
        <v>74</v>
      </c>
      <c r="B54" t="s">
        <v>89</v>
      </c>
      <c r="C54">
        <v>53.546100000000003</v>
      </c>
      <c r="D54">
        <v>-113.49379999999999</v>
      </c>
      <c r="E54">
        <v>2022</v>
      </c>
      <c r="F54">
        <v>11</v>
      </c>
      <c r="G54" t="s">
        <v>87</v>
      </c>
      <c r="H54">
        <v>65.099999999999994</v>
      </c>
      <c r="I54">
        <v>150.42857140000001</v>
      </c>
      <c r="J54">
        <v>1414.75</v>
      </c>
      <c r="K54">
        <v>142.9</v>
      </c>
      <c r="L54">
        <v>32.4</v>
      </c>
    </row>
    <row r="55" spans="1:12">
      <c r="A55">
        <v>74</v>
      </c>
      <c r="B55" t="s">
        <v>89</v>
      </c>
      <c r="C55">
        <v>53.546100000000003</v>
      </c>
      <c r="D55">
        <v>-113.49379999999999</v>
      </c>
      <c r="E55">
        <v>2022</v>
      </c>
      <c r="F55">
        <v>12</v>
      </c>
      <c r="G55" t="s">
        <v>88</v>
      </c>
      <c r="H55">
        <v>65.2</v>
      </c>
      <c r="I55">
        <v>154.33333329999999</v>
      </c>
      <c r="J55">
        <v>1414.75</v>
      </c>
      <c r="K55">
        <v>138.96666669999999</v>
      </c>
      <c r="L55">
        <v>13.3</v>
      </c>
    </row>
    <row r="56" spans="1:12">
      <c r="A56">
        <v>74</v>
      </c>
      <c r="B56" t="s">
        <v>89</v>
      </c>
      <c r="C56">
        <v>53.546100000000003</v>
      </c>
      <c r="D56">
        <v>-113.49379999999999</v>
      </c>
      <c r="E56">
        <v>2023</v>
      </c>
      <c r="F56">
        <v>1</v>
      </c>
      <c r="G56" t="s">
        <v>77</v>
      </c>
      <c r="H56">
        <v>66</v>
      </c>
      <c r="I56">
        <v>154.33333329999999</v>
      </c>
      <c r="J56">
        <v>1440.63</v>
      </c>
      <c r="K56">
        <v>142.1</v>
      </c>
      <c r="L56">
        <v>3.6</v>
      </c>
    </row>
    <row r="57" spans="1:12">
      <c r="A57">
        <v>74</v>
      </c>
      <c r="B57" t="s">
        <v>89</v>
      </c>
      <c r="C57">
        <v>53.546100000000003</v>
      </c>
      <c r="D57">
        <v>-113.49379999999999</v>
      </c>
      <c r="E57">
        <v>2023</v>
      </c>
      <c r="F57">
        <v>2</v>
      </c>
      <c r="G57" t="s">
        <v>78</v>
      </c>
      <c r="H57">
        <v>66.599999999999994</v>
      </c>
      <c r="I57">
        <v>154.33333329999999</v>
      </c>
      <c r="J57">
        <v>1440.63</v>
      </c>
      <c r="K57">
        <v>150.8666667</v>
      </c>
      <c r="L57">
        <v>12</v>
      </c>
    </row>
    <row r="58" spans="1:12">
      <c r="A58">
        <v>74</v>
      </c>
      <c r="B58" t="s">
        <v>89</v>
      </c>
      <c r="C58">
        <v>53.546100000000003</v>
      </c>
      <c r="D58">
        <v>-113.49379999999999</v>
      </c>
      <c r="E58">
        <v>2023</v>
      </c>
      <c r="F58">
        <v>3</v>
      </c>
      <c r="G58" t="s">
        <v>79</v>
      </c>
      <c r="H58">
        <v>66.8</v>
      </c>
      <c r="I58">
        <v>154.33333329999999</v>
      </c>
      <c r="J58">
        <v>1440.63</v>
      </c>
      <c r="K58">
        <v>174</v>
      </c>
      <c r="L58">
        <v>2.7</v>
      </c>
    </row>
    <row r="59" spans="1:12">
      <c r="A59">
        <v>74</v>
      </c>
      <c r="B59" t="s">
        <v>89</v>
      </c>
      <c r="C59">
        <v>53.546100000000003</v>
      </c>
      <c r="D59">
        <v>-113.49379999999999</v>
      </c>
      <c r="E59">
        <v>2023</v>
      </c>
      <c r="F59">
        <v>4</v>
      </c>
      <c r="G59" t="s">
        <v>80</v>
      </c>
      <c r="H59">
        <v>66.7</v>
      </c>
      <c r="I59">
        <v>154.33333329999999</v>
      </c>
      <c r="J59">
        <v>1440.63</v>
      </c>
      <c r="K59">
        <v>165.16666670000001</v>
      </c>
      <c r="L59">
        <v>15.7</v>
      </c>
    </row>
    <row r="60" spans="1:12">
      <c r="A60">
        <v>74</v>
      </c>
      <c r="B60" t="s">
        <v>89</v>
      </c>
      <c r="C60">
        <v>53.546100000000003</v>
      </c>
      <c r="D60">
        <v>-113.49379999999999</v>
      </c>
      <c r="E60">
        <v>2023</v>
      </c>
      <c r="F60">
        <v>5</v>
      </c>
      <c r="G60" t="s">
        <v>81</v>
      </c>
      <c r="H60">
        <v>66.599999999999994</v>
      </c>
      <c r="I60">
        <v>154.33333329999999</v>
      </c>
      <c r="J60">
        <v>1440.63</v>
      </c>
      <c r="K60">
        <v>177.53333330000001</v>
      </c>
      <c r="L60">
        <v>20.7</v>
      </c>
    </row>
    <row r="61" spans="1:12">
      <c r="A61">
        <v>74</v>
      </c>
      <c r="B61" t="s">
        <v>89</v>
      </c>
      <c r="C61">
        <v>53.546100000000003</v>
      </c>
      <c r="D61">
        <v>-113.49379999999999</v>
      </c>
      <c r="E61">
        <v>2023</v>
      </c>
      <c r="F61">
        <v>6</v>
      </c>
      <c r="G61" t="s">
        <v>82</v>
      </c>
      <c r="H61">
        <v>66.400000000000006</v>
      </c>
      <c r="I61">
        <v>154.33333329999999</v>
      </c>
      <c r="J61">
        <v>1440.63</v>
      </c>
      <c r="K61">
        <v>195.7</v>
      </c>
      <c r="L61">
        <v>139</v>
      </c>
    </row>
    <row r="62" spans="1:12">
      <c r="A62">
        <v>74</v>
      </c>
      <c r="B62" t="s">
        <v>89</v>
      </c>
      <c r="C62">
        <v>53.546100000000003</v>
      </c>
      <c r="D62">
        <v>-113.49379999999999</v>
      </c>
      <c r="E62">
        <v>2023</v>
      </c>
      <c r="F62">
        <v>7</v>
      </c>
      <c r="G62" t="s">
        <v>83</v>
      </c>
      <c r="H62">
        <v>66.2</v>
      </c>
      <c r="I62">
        <v>154.33333329999999</v>
      </c>
      <c r="J62">
        <v>1440.63</v>
      </c>
      <c r="K62">
        <v>186.33333329999999</v>
      </c>
      <c r="L62">
        <v>128.80000000000001</v>
      </c>
    </row>
    <row r="63" spans="1:12">
      <c r="A63">
        <v>74</v>
      </c>
      <c r="B63" t="s">
        <v>89</v>
      </c>
      <c r="C63">
        <v>53.546100000000003</v>
      </c>
      <c r="D63">
        <v>-113.49379999999999</v>
      </c>
      <c r="E63">
        <v>2023</v>
      </c>
      <c r="F63">
        <v>8</v>
      </c>
      <c r="G63" t="s">
        <v>84</v>
      </c>
      <c r="H63">
        <v>65.8</v>
      </c>
      <c r="I63">
        <v>154.33333329999999</v>
      </c>
      <c r="J63">
        <v>1440.63</v>
      </c>
      <c r="K63">
        <v>160.2333333</v>
      </c>
      <c r="L63">
        <v>81.599999999999994</v>
      </c>
    </row>
    <row r="64" spans="1:12">
      <c r="A64">
        <v>74</v>
      </c>
      <c r="B64" t="s">
        <v>89</v>
      </c>
      <c r="C64">
        <v>53.546100000000003</v>
      </c>
      <c r="D64">
        <v>-113.49379999999999</v>
      </c>
      <c r="E64">
        <v>2023</v>
      </c>
      <c r="F64">
        <v>9</v>
      </c>
      <c r="G64" t="s">
        <v>85</v>
      </c>
      <c r="H64">
        <v>65.599999999999994</v>
      </c>
      <c r="I64">
        <v>154.33333329999999</v>
      </c>
      <c r="J64">
        <v>1440.63</v>
      </c>
      <c r="K64">
        <v>156.06666670000001</v>
      </c>
      <c r="L64">
        <v>18.100000000000001</v>
      </c>
    </row>
    <row r="65" spans="1:12">
      <c r="A65">
        <v>74</v>
      </c>
      <c r="B65" t="s">
        <v>89</v>
      </c>
      <c r="C65">
        <v>53.546100000000003</v>
      </c>
      <c r="D65">
        <v>-113.49379999999999</v>
      </c>
      <c r="E65">
        <v>2023</v>
      </c>
      <c r="F65">
        <v>10</v>
      </c>
      <c r="G65" t="s">
        <v>86</v>
      </c>
      <c r="H65">
        <v>65.400000000000006</v>
      </c>
      <c r="I65">
        <v>154.33333329999999</v>
      </c>
      <c r="J65">
        <v>1440.63</v>
      </c>
      <c r="K65">
        <v>178.16666670000001</v>
      </c>
      <c r="L65">
        <v>4.8</v>
      </c>
    </row>
    <row r="66" spans="1:12">
      <c r="A66">
        <v>74</v>
      </c>
      <c r="B66" t="s">
        <v>89</v>
      </c>
      <c r="C66">
        <v>53.546100000000003</v>
      </c>
      <c r="D66">
        <v>-113.49379999999999</v>
      </c>
      <c r="E66">
        <v>2023</v>
      </c>
      <c r="F66">
        <v>11</v>
      </c>
      <c r="G66" t="s">
        <v>87</v>
      </c>
      <c r="H66">
        <v>65.2</v>
      </c>
      <c r="I66">
        <v>154.33333329999999</v>
      </c>
      <c r="J66">
        <v>1440.63</v>
      </c>
      <c r="K66">
        <v>169.53333330000001</v>
      </c>
      <c r="L66">
        <v>0</v>
      </c>
    </row>
    <row r="67" spans="1:12">
      <c r="A67">
        <v>74</v>
      </c>
      <c r="B67" t="s">
        <v>89</v>
      </c>
      <c r="C67">
        <v>53.546100000000003</v>
      </c>
      <c r="D67">
        <v>-113.49379999999999</v>
      </c>
      <c r="E67">
        <v>2023</v>
      </c>
      <c r="F67">
        <v>12</v>
      </c>
      <c r="G67" t="s">
        <v>88</v>
      </c>
      <c r="H67">
        <v>64.7</v>
      </c>
      <c r="I67">
        <v>154.33333329999999</v>
      </c>
      <c r="J67">
        <v>1440.63</v>
      </c>
      <c r="K67">
        <v>152.96666669999999</v>
      </c>
      <c r="L67">
        <v>5.2</v>
      </c>
    </row>
    <row r="68" spans="1:12">
      <c r="A68">
        <v>74</v>
      </c>
      <c r="B68" t="s">
        <v>89</v>
      </c>
      <c r="C68">
        <v>53.546100000000003</v>
      </c>
      <c r="D68">
        <v>-113.49379999999999</v>
      </c>
      <c r="E68">
        <v>2024</v>
      </c>
      <c r="F68">
        <v>1</v>
      </c>
      <c r="G68" t="s">
        <v>77</v>
      </c>
      <c r="H68">
        <v>64</v>
      </c>
      <c r="J68">
        <v>1447.94</v>
      </c>
      <c r="K68">
        <v>149.3666667</v>
      </c>
      <c r="L68">
        <v>11.7</v>
      </c>
    </row>
    <row r="69" spans="1:12">
      <c r="A69">
        <v>74</v>
      </c>
      <c r="B69" t="s">
        <v>89</v>
      </c>
      <c r="C69">
        <v>53.546100000000003</v>
      </c>
      <c r="D69">
        <v>-113.49379999999999</v>
      </c>
      <c r="E69">
        <v>2024</v>
      </c>
      <c r="F69">
        <v>2</v>
      </c>
      <c r="G69" t="s">
        <v>78</v>
      </c>
      <c r="H69">
        <v>64.2</v>
      </c>
      <c r="J69">
        <v>1449.56</v>
      </c>
      <c r="K69">
        <v>139.96666669999999</v>
      </c>
      <c r="L69">
        <v>21.3</v>
      </c>
    </row>
    <row r="70" spans="1:12">
      <c r="A70">
        <v>74</v>
      </c>
      <c r="B70" t="s">
        <v>89</v>
      </c>
      <c r="C70">
        <v>53.546100000000003</v>
      </c>
      <c r="D70">
        <v>-113.49379999999999</v>
      </c>
      <c r="E70">
        <v>2024</v>
      </c>
      <c r="F70">
        <v>3</v>
      </c>
      <c r="G70" t="s">
        <v>79</v>
      </c>
      <c r="H70">
        <v>63.8</v>
      </c>
      <c r="J70">
        <v>1451.18</v>
      </c>
      <c r="K70">
        <v>141</v>
      </c>
      <c r="L70">
        <v>14.5</v>
      </c>
    </row>
    <row r="71" spans="1:12">
      <c r="A71">
        <v>74</v>
      </c>
      <c r="B71" t="s">
        <v>89</v>
      </c>
      <c r="C71">
        <v>53.546100000000003</v>
      </c>
      <c r="D71">
        <v>-113.49379999999999</v>
      </c>
      <c r="E71">
        <v>2024</v>
      </c>
      <c r="F71">
        <v>4</v>
      </c>
      <c r="G71" t="s">
        <v>80</v>
      </c>
      <c r="H71">
        <v>63.9</v>
      </c>
      <c r="J71">
        <v>1452.8</v>
      </c>
      <c r="K71">
        <v>148.83333329999999</v>
      </c>
      <c r="L71">
        <v>19</v>
      </c>
    </row>
    <row r="72" spans="1:12">
      <c r="A72">
        <v>74</v>
      </c>
      <c r="B72" t="s">
        <v>89</v>
      </c>
      <c r="C72">
        <v>53.546100000000003</v>
      </c>
      <c r="D72">
        <v>-113.49379999999999</v>
      </c>
      <c r="E72">
        <v>2024</v>
      </c>
      <c r="F72">
        <v>5</v>
      </c>
      <c r="G72" t="s">
        <v>81</v>
      </c>
      <c r="H72">
        <v>63.3</v>
      </c>
      <c r="J72">
        <v>1454.43</v>
      </c>
      <c r="K72">
        <v>145.53333330000001</v>
      </c>
      <c r="L72">
        <v>62.6</v>
      </c>
    </row>
    <row r="73" spans="1:12">
      <c r="A73">
        <v>74</v>
      </c>
      <c r="B73" t="s">
        <v>89</v>
      </c>
      <c r="C73">
        <v>53.546100000000003</v>
      </c>
      <c r="D73">
        <v>-113.49379999999999</v>
      </c>
      <c r="E73">
        <v>2024</v>
      </c>
      <c r="F73">
        <v>6</v>
      </c>
      <c r="G73" t="s">
        <v>82</v>
      </c>
      <c r="H73">
        <v>63</v>
      </c>
      <c r="J73">
        <v>1456.05</v>
      </c>
      <c r="K73">
        <v>144.2333333</v>
      </c>
      <c r="L73">
        <v>54.3</v>
      </c>
    </row>
    <row r="74" spans="1:12">
      <c r="A74">
        <v>74</v>
      </c>
      <c r="B74" t="s">
        <v>89</v>
      </c>
      <c r="C74">
        <v>53.546100000000003</v>
      </c>
      <c r="D74">
        <v>-113.49379999999999</v>
      </c>
      <c r="E74">
        <v>2024</v>
      </c>
      <c r="F74">
        <v>7</v>
      </c>
      <c r="G74" t="s">
        <v>83</v>
      </c>
      <c r="H74">
        <v>62.5</v>
      </c>
      <c r="J74">
        <v>1457.67</v>
      </c>
      <c r="K74">
        <v>142.69999999999999</v>
      </c>
      <c r="L74">
        <v>33.4</v>
      </c>
    </row>
    <row r="75" spans="1:12">
      <c r="A75">
        <v>74</v>
      </c>
      <c r="B75" t="s">
        <v>89</v>
      </c>
      <c r="C75">
        <v>53.546100000000003</v>
      </c>
      <c r="D75">
        <v>-113.49379999999999</v>
      </c>
      <c r="E75">
        <v>2024</v>
      </c>
      <c r="F75">
        <v>8</v>
      </c>
      <c r="G75" t="s">
        <v>84</v>
      </c>
      <c r="H75">
        <v>62.2</v>
      </c>
      <c r="J75">
        <v>1459.29</v>
      </c>
      <c r="K75">
        <v>153.3666667</v>
      </c>
      <c r="L75">
        <v>75.5</v>
      </c>
    </row>
    <row r="76" spans="1:12">
      <c r="A76">
        <v>74</v>
      </c>
      <c r="B76" t="s">
        <v>89</v>
      </c>
      <c r="C76">
        <v>53.546100000000003</v>
      </c>
      <c r="D76">
        <v>-113.49379999999999</v>
      </c>
      <c r="E76">
        <v>2024</v>
      </c>
      <c r="F76">
        <v>9</v>
      </c>
      <c r="G76" t="s">
        <v>85</v>
      </c>
      <c r="H76">
        <v>62.2</v>
      </c>
      <c r="J76">
        <v>1460.91</v>
      </c>
      <c r="K76">
        <v>156.03333330000001</v>
      </c>
      <c r="L76">
        <v>27.7</v>
      </c>
    </row>
    <row r="77" spans="1:12">
      <c r="A77">
        <v>74</v>
      </c>
      <c r="B77" t="s">
        <v>89</v>
      </c>
      <c r="C77">
        <v>53.546100000000003</v>
      </c>
      <c r="D77">
        <v>-113.49379999999999</v>
      </c>
      <c r="E77">
        <v>2024</v>
      </c>
      <c r="F77">
        <v>10</v>
      </c>
      <c r="G77" t="s">
        <v>86</v>
      </c>
      <c r="H77">
        <v>62.6</v>
      </c>
      <c r="J77">
        <v>1462.53</v>
      </c>
      <c r="K77">
        <v>154.1333333</v>
      </c>
      <c r="L77">
        <v>12.3</v>
      </c>
    </row>
    <row r="78" spans="1:12">
      <c r="A78">
        <v>74</v>
      </c>
      <c r="B78" t="s">
        <v>89</v>
      </c>
      <c r="C78">
        <v>53.546100000000003</v>
      </c>
      <c r="D78">
        <v>-113.49379999999999</v>
      </c>
      <c r="E78">
        <v>2024</v>
      </c>
      <c r="F78">
        <v>11</v>
      </c>
      <c r="G78" t="s">
        <v>87</v>
      </c>
      <c r="H78">
        <v>63.1</v>
      </c>
      <c r="J78">
        <v>1464.15</v>
      </c>
      <c r="K78">
        <v>151.56666670000001</v>
      </c>
      <c r="L78">
        <v>21</v>
      </c>
    </row>
    <row r="79" spans="1:12">
      <c r="A79">
        <v>74</v>
      </c>
      <c r="B79" t="s">
        <v>89</v>
      </c>
      <c r="C79">
        <v>53.546100000000003</v>
      </c>
      <c r="D79">
        <v>-113.49379999999999</v>
      </c>
      <c r="E79">
        <v>2024</v>
      </c>
      <c r="F79">
        <v>12</v>
      </c>
      <c r="G79" t="s">
        <v>88</v>
      </c>
      <c r="H79">
        <v>63.6</v>
      </c>
      <c r="J79">
        <v>1465.77</v>
      </c>
      <c r="K79">
        <v>139.66666670000001</v>
      </c>
      <c r="L79">
        <v>19.5</v>
      </c>
    </row>
    <row r="80" spans="1:12">
      <c r="A80">
        <v>75</v>
      </c>
      <c r="B80" t="s">
        <v>90</v>
      </c>
      <c r="C80">
        <v>44.648800000000001</v>
      </c>
      <c r="D80">
        <v>-63.575200000000002</v>
      </c>
      <c r="E80">
        <v>2022</v>
      </c>
      <c r="F80">
        <v>1</v>
      </c>
      <c r="G80" t="s">
        <v>77</v>
      </c>
      <c r="H80">
        <v>63.2</v>
      </c>
      <c r="I80">
        <v>143.1571429</v>
      </c>
      <c r="J80">
        <v>1466.19</v>
      </c>
      <c r="K80">
        <v>106.77500000000001</v>
      </c>
      <c r="L80">
        <v>0</v>
      </c>
    </row>
    <row r="81" spans="1:12">
      <c r="A81">
        <v>75</v>
      </c>
      <c r="B81" t="s">
        <v>90</v>
      </c>
      <c r="C81">
        <v>44.648800000000001</v>
      </c>
      <c r="D81">
        <v>-63.575200000000002</v>
      </c>
      <c r="E81">
        <v>2022</v>
      </c>
      <c r="F81">
        <v>2</v>
      </c>
      <c r="G81" t="s">
        <v>78</v>
      </c>
      <c r="H81">
        <v>63.4</v>
      </c>
      <c r="I81">
        <v>143.1571429</v>
      </c>
      <c r="J81">
        <v>1466.19</v>
      </c>
      <c r="K81">
        <v>113.2</v>
      </c>
      <c r="L81">
        <v>0</v>
      </c>
    </row>
    <row r="82" spans="1:12">
      <c r="A82">
        <v>75</v>
      </c>
      <c r="B82" t="s">
        <v>90</v>
      </c>
      <c r="C82">
        <v>44.648800000000001</v>
      </c>
      <c r="D82">
        <v>-63.575200000000002</v>
      </c>
      <c r="E82">
        <v>2022</v>
      </c>
      <c r="F82">
        <v>3</v>
      </c>
      <c r="G82" t="s">
        <v>79</v>
      </c>
      <c r="H82">
        <v>63.4</v>
      </c>
      <c r="I82">
        <v>143.1571429</v>
      </c>
      <c r="J82">
        <v>1466.19</v>
      </c>
      <c r="K82">
        <v>121.47499999999999</v>
      </c>
      <c r="L82">
        <v>0</v>
      </c>
    </row>
    <row r="83" spans="1:12">
      <c r="A83">
        <v>75</v>
      </c>
      <c r="B83" t="s">
        <v>90</v>
      </c>
      <c r="C83">
        <v>44.648800000000001</v>
      </c>
      <c r="D83">
        <v>-63.575200000000002</v>
      </c>
      <c r="E83">
        <v>2022</v>
      </c>
      <c r="F83">
        <v>4</v>
      </c>
      <c r="G83" t="s">
        <v>80</v>
      </c>
      <c r="H83">
        <v>63.8</v>
      </c>
      <c r="I83">
        <v>143.1571429</v>
      </c>
      <c r="J83">
        <v>1466.19</v>
      </c>
      <c r="K83">
        <v>120.925</v>
      </c>
      <c r="L83">
        <v>0</v>
      </c>
    </row>
    <row r="84" spans="1:12">
      <c r="A84">
        <v>75</v>
      </c>
      <c r="B84" t="s">
        <v>90</v>
      </c>
      <c r="C84">
        <v>44.648800000000001</v>
      </c>
      <c r="D84">
        <v>-63.575200000000002</v>
      </c>
      <c r="E84">
        <v>2022</v>
      </c>
      <c r="F84">
        <v>5</v>
      </c>
      <c r="G84" t="s">
        <v>81</v>
      </c>
      <c r="H84">
        <v>64.099999999999994</v>
      </c>
      <c r="I84">
        <v>143.1571429</v>
      </c>
      <c r="J84">
        <v>1466.19</v>
      </c>
      <c r="K84">
        <v>123.1</v>
      </c>
      <c r="L84">
        <v>0</v>
      </c>
    </row>
    <row r="85" spans="1:12">
      <c r="A85">
        <v>75</v>
      </c>
      <c r="B85" t="s">
        <v>90</v>
      </c>
      <c r="C85">
        <v>44.648800000000001</v>
      </c>
      <c r="D85">
        <v>-63.575200000000002</v>
      </c>
      <c r="E85">
        <v>2022</v>
      </c>
      <c r="F85">
        <v>6</v>
      </c>
      <c r="G85" t="s">
        <v>82</v>
      </c>
      <c r="H85">
        <v>64.400000000000006</v>
      </c>
      <c r="I85">
        <v>143.1571429</v>
      </c>
      <c r="J85">
        <v>1466.19</v>
      </c>
      <c r="K85">
        <v>124.7</v>
      </c>
      <c r="L85">
        <v>0</v>
      </c>
    </row>
    <row r="86" spans="1:12">
      <c r="A86">
        <v>75</v>
      </c>
      <c r="B86" t="s">
        <v>90</v>
      </c>
      <c r="C86">
        <v>44.648800000000001</v>
      </c>
      <c r="D86">
        <v>-63.575200000000002</v>
      </c>
      <c r="E86">
        <v>2022</v>
      </c>
      <c r="F86">
        <v>7</v>
      </c>
      <c r="G86" t="s">
        <v>83</v>
      </c>
      <c r="H86">
        <v>64.3</v>
      </c>
      <c r="I86">
        <v>143.1571429</v>
      </c>
      <c r="J86">
        <v>1466.19</v>
      </c>
      <c r="K86">
        <v>128.92500000000001</v>
      </c>
      <c r="L86">
        <v>0</v>
      </c>
    </row>
    <row r="87" spans="1:12">
      <c r="A87">
        <v>75</v>
      </c>
      <c r="B87" t="s">
        <v>90</v>
      </c>
      <c r="C87">
        <v>44.648800000000001</v>
      </c>
      <c r="D87">
        <v>-63.575200000000002</v>
      </c>
      <c r="E87">
        <v>2022</v>
      </c>
      <c r="F87">
        <v>8</v>
      </c>
      <c r="G87" t="s">
        <v>84</v>
      </c>
      <c r="H87">
        <v>64.3</v>
      </c>
      <c r="I87">
        <v>143.1571429</v>
      </c>
      <c r="J87">
        <v>1466.19</v>
      </c>
      <c r="K87">
        <v>128.17500000000001</v>
      </c>
      <c r="L87">
        <v>0</v>
      </c>
    </row>
    <row r="88" spans="1:12">
      <c r="A88">
        <v>75</v>
      </c>
      <c r="B88" t="s">
        <v>90</v>
      </c>
      <c r="C88">
        <v>44.648800000000001</v>
      </c>
      <c r="D88">
        <v>-63.575200000000002</v>
      </c>
      <c r="E88">
        <v>2022</v>
      </c>
      <c r="F88">
        <v>9</v>
      </c>
      <c r="G88" t="s">
        <v>85</v>
      </c>
      <c r="H88">
        <v>64.5</v>
      </c>
      <c r="I88">
        <v>143.1571429</v>
      </c>
      <c r="J88">
        <v>1466.19</v>
      </c>
      <c r="K88">
        <v>129.80000000000001</v>
      </c>
      <c r="L88">
        <v>0</v>
      </c>
    </row>
    <row r="89" spans="1:12">
      <c r="A89">
        <v>75</v>
      </c>
      <c r="B89" t="s">
        <v>90</v>
      </c>
      <c r="C89">
        <v>44.648800000000001</v>
      </c>
      <c r="D89">
        <v>-63.575200000000002</v>
      </c>
      <c r="E89">
        <v>2022</v>
      </c>
      <c r="F89">
        <v>10</v>
      </c>
      <c r="G89" t="s">
        <v>86</v>
      </c>
      <c r="H89">
        <v>64.8</v>
      </c>
      <c r="I89">
        <v>143.1571429</v>
      </c>
      <c r="J89">
        <v>1466.19</v>
      </c>
      <c r="K89">
        <v>138.35</v>
      </c>
      <c r="L89">
        <v>0</v>
      </c>
    </row>
    <row r="90" spans="1:12">
      <c r="A90">
        <v>75</v>
      </c>
      <c r="B90" t="s">
        <v>90</v>
      </c>
      <c r="C90">
        <v>44.648800000000001</v>
      </c>
      <c r="D90">
        <v>-63.575200000000002</v>
      </c>
      <c r="E90">
        <v>2022</v>
      </c>
      <c r="F90">
        <v>11</v>
      </c>
      <c r="G90" t="s">
        <v>87</v>
      </c>
      <c r="H90">
        <v>65.3</v>
      </c>
      <c r="I90">
        <v>143.1571429</v>
      </c>
      <c r="J90">
        <v>1466.19</v>
      </c>
      <c r="K90">
        <v>139.125</v>
      </c>
      <c r="L90">
        <v>0</v>
      </c>
    </row>
    <row r="91" spans="1:12">
      <c r="A91">
        <v>75</v>
      </c>
      <c r="B91" t="s">
        <v>90</v>
      </c>
      <c r="C91">
        <v>44.648800000000001</v>
      </c>
      <c r="D91">
        <v>-63.575200000000002</v>
      </c>
      <c r="E91">
        <v>2022</v>
      </c>
      <c r="F91">
        <v>12</v>
      </c>
      <c r="G91" t="s">
        <v>88</v>
      </c>
      <c r="H91">
        <v>65.5</v>
      </c>
      <c r="I91">
        <v>143.1571429</v>
      </c>
      <c r="J91">
        <v>1466.19</v>
      </c>
      <c r="K91">
        <v>131.92500000000001</v>
      </c>
      <c r="L91">
        <v>0</v>
      </c>
    </row>
    <row r="92" spans="1:12">
      <c r="A92">
        <v>75</v>
      </c>
      <c r="B92" t="s">
        <v>90</v>
      </c>
      <c r="C92">
        <v>44.648800000000001</v>
      </c>
      <c r="D92">
        <v>-63.575200000000002</v>
      </c>
      <c r="E92">
        <v>2023</v>
      </c>
      <c r="F92">
        <v>1</v>
      </c>
      <c r="G92" t="s">
        <v>77</v>
      </c>
      <c r="H92">
        <v>65.7</v>
      </c>
      <c r="I92">
        <v>148.17500000000001</v>
      </c>
      <c r="J92">
        <v>1464.56</v>
      </c>
      <c r="K92">
        <v>142.52500000000001</v>
      </c>
      <c r="L92">
        <v>0</v>
      </c>
    </row>
    <row r="93" spans="1:12">
      <c r="A93">
        <v>75</v>
      </c>
      <c r="B93" t="s">
        <v>90</v>
      </c>
      <c r="C93">
        <v>44.648800000000001</v>
      </c>
      <c r="D93">
        <v>-63.575200000000002</v>
      </c>
      <c r="E93">
        <v>2023</v>
      </c>
      <c r="F93">
        <v>2</v>
      </c>
      <c r="G93" t="s">
        <v>78</v>
      </c>
      <c r="H93">
        <v>65.5</v>
      </c>
      <c r="I93">
        <v>148.17500000000001</v>
      </c>
      <c r="J93">
        <v>1464.56</v>
      </c>
      <c r="K93">
        <v>155.30000000000001</v>
      </c>
      <c r="L93">
        <v>0</v>
      </c>
    </row>
    <row r="94" spans="1:12">
      <c r="A94">
        <v>75</v>
      </c>
      <c r="B94" t="s">
        <v>90</v>
      </c>
      <c r="C94">
        <v>44.648800000000001</v>
      </c>
      <c r="D94">
        <v>-63.575200000000002</v>
      </c>
      <c r="E94">
        <v>2023</v>
      </c>
      <c r="F94">
        <v>3</v>
      </c>
      <c r="G94" t="s">
        <v>79</v>
      </c>
      <c r="H94">
        <v>65.400000000000006</v>
      </c>
      <c r="I94">
        <v>148.17500000000001</v>
      </c>
      <c r="J94">
        <v>1464.56</v>
      </c>
      <c r="K94">
        <v>181.22499999999999</v>
      </c>
      <c r="L94">
        <v>0</v>
      </c>
    </row>
    <row r="95" spans="1:12">
      <c r="A95">
        <v>75</v>
      </c>
      <c r="B95" t="s">
        <v>90</v>
      </c>
      <c r="C95">
        <v>44.648800000000001</v>
      </c>
      <c r="D95">
        <v>-63.575200000000002</v>
      </c>
      <c r="E95">
        <v>2023</v>
      </c>
      <c r="F95">
        <v>4</v>
      </c>
      <c r="G95" t="s">
        <v>80</v>
      </c>
      <c r="H95">
        <v>65.2</v>
      </c>
      <c r="I95">
        <v>148.17500000000001</v>
      </c>
      <c r="J95">
        <v>1464.56</v>
      </c>
      <c r="K95">
        <v>183.92500000000001</v>
      </c>
      <c r="L95">
        <v>0</v>
      </c>
    </row>
    <row r="96" spans="1:12">
      <c r="A96">
        <v>75</v>
      </c>
      <c r="B96" t="s">
        <v>90</v>
      </c>
      <c r="C96">
        <v>44.648800000000001</v>
      </c>
      <c r="D96">
        <v>-63.575200000000002</v>
      </c>
      <c r="E96">
        <v>2023</v>
      </c>
      <c r="F96">
        <v>5</v>
      </c>
      <c r="G96" t="s">
        <v>81</v>
      </c>
      <c r="H96">
        <v>64.7</v>
      </c>
      <c r="I96">
        <v>148.17500000000001</v>
      </c>
      <c r="J96">
        <v>1464.56</v>
      </c>
      <c r="K96">
        <v>210.65</v>
      </c>
      <c r="L96">
        <v>0</v>
      </c>
    </row>
    <row r="97" spans="1:12">
      <c r="A97">
        <v>75</v>
      </c>
      <c r="B97" t="s">
        <v>90</v>
      </c>
      <c r="C97">
        <v>44.648800000000001</v>
      </c>
      <c r="D97">
        <v>-63.575200000000002</v>
      </c>
      <c r="E97">
        <v>2023</v>
      </c>
      <c r="F97">
        <v>6</v>
      </c>
      <c r="G97" t="s">
        <v>82</v>
      </c>
      <c r="H97">
        <v>64.3</v>
      </c>
      <c r="I97">
        <v>148.17500000000001</v>
      </c>
      <c r="J97">
        <v>1464.56</v>
      </c>
      <c r="K97">
        <v>207.17500000000001</v>
      </c>
      <c r="L97">
        <v>0</v>
      </c>
    </row>
    <row r="98" spans="1:12">
      <c r="A98">
        <v>75</v>
      </c>
      <c r="B98" t="s">
        <v>90</v>
      </c>
      <c r="C98">
        <v>44.648800000000001</v>
      </c>
      <c r="D98">
        <v>-63.575200000000002</v>
      </c>
      <c r="E98">
        <v>2023</v>
      </c>
      <c r="F98">
        <v>7</v>
      </c>
      <c r="G98" t="s">
        <v>83</v>
      </c>
      <c r="H98">
        <v>63.8</v>
      </c>
      <c r="I98">
        <v>148.17500000000001</v>
      </c>
      <c r="J98">
        <v>1464.56</v>
      </c>
      <c r="K98">
        <v>190.02500000000001</v>
      </c>
      <c r="L98">
        <v>0</v>
      </c>
    </row>
    <row r="99" spans="1:12">
      <c r="A99">
        <v>75</v>
      </c>
      <c r="B99" t="s">
        <v>90</v>
      </c>
      <c r="C99">
        <v>44.648800000000001</v>
      </c>
      <c r="D99">
        <v>-63.575200000000002</v>
      </c>
      <c r="E99">
        <v>2023</v>
      </c>
      <c r="F99">
        <v>8</v>
      </c>
      <c r="G99" t="s">
        <v>84</v>
      </c>
      <c r="H99">
        <v>63.8</v>
      </c>
      <c r="I99">
        <v>148.17500000000001</v>
      </c>
      <c r="J99">
        <v>1464.56</v>
      </c>
      <c r="K99">
        <v>176.9</v>
      </c>
      <c r="L99">
        <v>0</v>
      </c>
    </row>
    <row r="100" spans="1:12">
      <c r="A100">
        <v>75</v>
      </c>
      <c r="B100" t="s">
        <v>90</v>
      </c>
      <c r="C100">
        <v>44.648800000000001</v>
      </c>
      <c r="D100">
        <v>-63.575200000000002</v>
      </c>
      <c r="E100">
        <v>2023</v>
      </c>
      <c r="F100">
        <v>9</v>
      </c>
      <c r="G100" t="s">
        <v>85</v>
      </c>
      <c r="H100">
        <v>63.6</v>
      </c>
      <c r="I100">
        <v>148.17500000000001</v>
      </c>
      <c r="J100">
        <v>1464.56</v>
      </c>
      <c r="K100">
        <v>168.3</v>
      </c>
      <c r="L100">
        <v>0</v>
      </c>
    </row>
    <row r="101" spans="1:12">
      <c r="A101">
        <v>75</v>
      </c>
      <c r="B101" t="s">
        <v>90</v>
      </c>
      <c r="C101">
        <v>44.648800000000001</v>
      </c>
      <c r="D101">
        <v>-63.575200000000002</v>
      </c>
      <c r="E101">
        <v>2023</v>
      </c>
      <c r="F101">
        <v>10</v>
      </c>
      <c r="G101" t="s">
        <v>86</v>
      </c>
      <c r="H101">
        <v>64.099999999999994</v>
      </c>
      <c r="I101">
        <v>148.17500000000001</v>
      </c>
      <c r="J101">
        <v>1464.56</v>
      </c>
      <c r="K101">
        <v>193.05</v>
      </c>
      <c r="L101">
        <v>0</v>
      </c>
    </row>
    <row r="102" spans="1:12">
      <c r="A102">
        <v>75</v>
      </c>
      <c r="B102" t="s">
        <v>90</v>
      </c>
      <c r="C102">
        <v>44.648800000000001</v>
      </c>
      <c r="D102">
        <v>-63.575200000000002</v>
      </c>
      <c r="E102">
        <v>2023</v>
      </c>
      <c r="F102">
        <v>11</v>
      </c>
      <c r="G102" t="s">
        <v>87</v>
      </c>
      <c r="H102">
        <v>64.5</v>
      </c>
      <c r="I102">
        <v>148.17500000000001</v>
      </c>
      <c r="J102">
        <v>1464.56</v>
      </c>
      <c r="K102">
        <v>206.17500000000001</v>
      </c>
      <c r="L102">
        <v>0</v>
      </c>
    </row>
    <row r="103" spans="1:12">
      <c r="A103">
        <v>75</v>
      </c>
      <c r="B103" t="s">
        <v>90</v>
      </c>
      <c r="C103">
        <v>44.648800000000001</v>
      </c>
      <c r="D103">
        <v>-63.575200000000002</v>
      </c>
      <c r="E103">
        <v>2023</v>
      </c>
      <c r="F103">
        <v>12</v>
      </c>
      <c r="G103" t="s">
        <v>88</v>
      </c>
      <c r="H103">
        <v>65.3</v>
      </c>
      <c r="I103">
        <v>148.17500000000001</v>
      </c>
      <c r="J103">
        <v>1464.56</v>
      </c>
      <c r="K103">
        <v>175.35</v>
      </c>
      <c r="L103">
        <v>0</v>
      </c>
    </row>
    <row r="104" spans="1:12">
      <c r="A104">
        <v>75</v>
      </c>
      <c r="B104" t="s">
        <v>90</v>
      </c>
      <c r="C104">
        <v>44.648800000000001</v>
      </c>
      <c r="D104">
        <v>-63.575200000000002</v>
      </c>
      <c r="E104">
        <v>2024</v>
      </c>
      <c r="F104">
        <v>1</v>
      </c>
      <c r="G104" t="s">
        <v>77</v>
      </c>
      <c r="H104">
        <v>65.599999999999994</v>
      </c>
      <c r="J104">
        <v>1464.1</v>
      </c>
      <c r="K104">
        <v>169.625</v>
      </c>
      <c r="L104">
        <v>0</v>
      </c>
    </row>
    <row r="105" spans="1:12">
      <c r="A105">
        <v>75</v>
      </c>
      <c r="B105" t="s">
        <v>90</v>
      </c>
      <c r="C105">
        <v>44.648800000000001</v>
      </c>
      <c r="D105">
        <v>-63.575200000000002</v>
      </c>
      <c r="E105">
        <v>2024</v>
      </c>
      <c r="F105">
        <v>2</v>
      </c>
      <c r="G105" t="s">
        <v>78</v>
      </c>
      <c r="H105">
        <v>65.900000000000006</v>
      </c>
      <c r="J105">
        <v>1464</v>
      </c>
      <c r="K105">
        <v>174.52500000000001</v>
      </c>
      <c r="L105">
        <v>0</v>
      </c>
    </row>
    <row r="106" spans="1:12">
      <c r="A106">
        <v>75</v>
      </c>
      <c r="B106" t="s">
        <v>90</v>
      </c>
      <c r="C106">
        <v>44.648800000000001</v>
      </c>
      <c r="D106">
        <v>-63.575200000000002</v>
      </c>
      <c r="E106">
        <v>2024</v>
      </c>
      <c r="F106">
        <v>3</v>
      </c>
      <c r="G106" t="s">
        <v>79</v>
      </c>
      <c r="H106">
        <v>66.099999999999994</v>
      </c>
      <c r="J106">
        <v>1463.9</v>
      </c>
      <c r="K106">
        <v>158.6</v>
      </c>
      <c r="L106">
        <v>0</v>
      </c>
    </row>
    <row r="107" spans="1:12">
      <c r="A107">
        <v>75</v>
      </c>
      <c r="B107" t="s">
        <v>90</v>
      </c>
      <c r="C107">
        <v>44.648800000000001</v>
      </c>
      <c r="D107">
        <v>-63.575200000000002</v>
      </c>
      <c r="E107">
        <v>2024</v>
      </c>
      <c r="F107">
        <v>4</v>
      </c>
      <c r="G107" t="s">
        <v>80</v>
      </c>
      <c r="H107">
        <v>66.099999999999994</v>
      </c>
      <c r="J107">
        <v>1463.79</v>
      </c>
      <c r="K107">
        <v>157.72499999999999</v>
      </c>
      <c r="L107">
        <v>0</v>
      </c>
    </row>
    <row r="108" spans="1:12">
      <c r="A108">
        <v>75</v>
      </c>
      <c r="B108" t="s">
        <v>90</v>
      </c>
      <c r="C108">
        <v>44.648800000000001</v>
      </c>
      <c r="D108">
        <v>-63.575200000000002</v>
      </c>
      <c r="E108">
        <v>2024</v>
      </c>
      <c r="F108">
        <v>5</v>
      </c>
      <c r="G108" t="s">
        <v>81</v>
      </c>
      <c r="H108">
        <v>66.2</v>
      </c>
      <c r="J108">
        <v>1463.69</v>
      </c>
      <c r="K108">
        <v>143.875</v>
      </c>
      <c r="L108">
        <v>0</v>
      </c>
    </row>
    <row r="109" spans="1:12">
      <c r="A109">
        <v>75</v>
      </c>
      <c r="B109" t="s">
        <v>90</v>
      </c>
      <c r="C109">
        <v>44.648800000000001</v>
      </c>
      <c r="D109">
        <v>-63.575200000000002</v>
      </c>
      <c r="E109">
        <v>2024</v>
      </c>
      <c r="F109">
        <v>6</v>
      </c>
      <c r="G109" t="s">
        <v>82</v>
      </c>
      <c r="H109">
        <v>65.900000000000006</v>
      </c>
      <c r="J109">
        <v>1463.59</v>
      </c>
      <c r="K109">
        <v>144.97499999999999</v>
      </c>
      <c r="L109">
        <v>0</v>
      </c>
    </row>
    <row r="110" spans="1:12">
      <c r="A110">
        <v>75</v>
      </c>
      <c r="B110" t="s">
        <v>90</v>
      </c>
      <c r="C110">
        <v>44.648800000000001</v>
      </c>
      <c r="D110">
        <v>-63.575200000000002</v>
      </c>
      <c r="E110">
        <v>2024</v>
      </c>
      <c r="F110">
        <v>7</v>
      </c>
      <c r="G110" t="s">
        <v>83</v>
      </c>
      <c r="H110">
        <v>65</v>
      </c>
      <c r="J110">
        <v>1463.49</v>
      </c>
      <c r="K110">
        <v>168.72499999999999</v>
      </c>
      <c r="L110">
        <v>0</v>
      </c>
    </row>
    <row r="111" spans="1:12">
      <c r="A111">
        <v>75</v>
      </c>
      <c r="B111" t="s">
        <v>90</v>
      </c>
      <c r="C111">
        <v>44.648800000000001</v>
      </c>
      <c r="D111">
        <v>-63.575200000000002</v>
      </c>
      <c r="E111">
        <v>2024</v>
      </c>
      <c r="F111">
        <v>8</v>
      </c>
      <c r="G111" t="s">
        <v>84</v>
      </c>
      <c r="H111">
        <v>64.7</v>
      </c>
      <c r="J111">
        <v>1463.38</v>
      </c>
      <c r="K111">
        <v>185.35</v>
      </c>
      <c r="L111">
        <v>0</v>
      </c>
    </row>
    <row r="112" spans="1:12">
      <c r="A112">
        <v>75</v>
      </c>
      <c r="B112" t="s">
        <v>90</v>
      </c>
      <c r="C112">
        <v>44.648800000000001</v>
      </c>
      <c r="D112">
        <v>-63.575200000000002</v>
      </c>
      <c r="E112">
        <v>2024</v>
      </c>
      <c r="F112">
        <v>9</v>
      </c>
      <c r="G112" t="s">
        <v>85</v>
      </c>
      <c r="H112">
        <v>64.400000000000006</v>
      </c>
      <c r="J112">
        <v>1463.28</v>
      </c>
      <c r="K112">
        <v>191.22499999999999</v>
      </c>
      <c r="L112">
        <v>0</v>
      </c>
    </row>
    <row r="113" spans="1:12">
      <c r="A113">
        <v>75</v>
      </c>
      <c r="B113" t="s">
        <v>90</v>
      </c>
      <c r="C113">
        <v>44.648800000000001</v>
      </c>
      <c r="D113">
        <v>-63.575200000000002</v>
      </c>
      <c r="E113">
        <v>2024</v>
      </c>
      <c r="F113">
        <v>10</v>
      </c>
      <c r="G113" t="s">
        <v>86</v>
      </c>
      <c r="H113">
        <v>64.599999999999994</v>
      </c>
      <c r="J113">
        <v>1463.18</v>
      </c>
      <c r="K113">
        <v>182.52500000000001</v>
      </c>
      <c r="L113">
        <v>0</v>
      </c>
    </row>
    <row r="114" spans="1:12">
      <c r="A114">
        <v>75</v>
      </c>
      <c r="B114" t="s">
        <v>90</v>
      </c>
      <c r="C114">
        <v>44.648800000000001</v>
      </c>
      <c r="D114">
        <v>-63.575200000000002</v>
      </c>
      <c r="E114">
        <v>2024</v>
      </c>
      <c r="F114">
        <v>11</v>
      </c>
      <c r="G114" t="s">
        <v>87</v>
      </c>
      <c r="H114">
        <v>64.400000000000006</v>
      </c>
      <c r="J114">
        <v>1463.08</v>
      </c>
      <c r="K114">
        <v>176.32499999999999</v>
      </c>
      <c r="L114">
        <v>0</v>
      </c>
    </row>
    <row r="115" spans="1:12">
      <c r="A115">
        <v>75</v>
      </c>
      <c r="B115" t="s">
        <v>90</v>
      </c>
      <c r="C115">
        <v>44.648800000000001</v>
      </c>
      <c r="D115">
        <v>-63.575200000000002</v>
      </c>
      <c r="E115">
        <v>2024</v>
      </c>
      <c r="F115">
        <v>12</v>
      </c>
      <c r="G115" t="s">
        <v>88</v>
      </c>
      <c r="H115">
        <v>64.3</v>
      </c>
      <c r="J115">
        <v>1462.98</v>
      </c>
      <c r="K115">
        <v>168.375</v>
      </c>
      <c r="L115">
        <v>0</v>
      </c>
    </row>
    <row r="116" spans="1:12">
      <c r="A116">
        <v>76</v>
      </c>
      <c r="B116" t="s">
        <v>91</v>
      </c>
      <c r="C116">
        <v>43.464300000000001</v>
      </c>
      <c r="D116">
        <v>-80.520399999999995</v>
      </c>
      <c r="E116">
        <v>2022</v>
      </c>
      <c r="F116">
        <v>1</v>
      </c>
      <c r="G116" t="s">
        <v>77</v>
      </c>
      <c r="H116">
        <v>124.9</v>
      </c>
      <c r="I116">
        <v>145.35714290000001</v>
      </c>
      <c r="J116">
        <v>787.28</v>
      </c>
      <c r="K116">
        <v>120.95</v>
      </c>
      <c r="L116">
        <v>40.200000000000003</v>
      </c>
    </row>
    <row r="117" spans="1:12">
      <c r="A117">
        <v>76</v>
      </c>
      <c r="B117" t="s">
        <v>91</v>
      </c>
      <c r="C117">
        <v>43.464300000000001</v>
      </c>
      <c r="D117">
        <v>-80.520399999999995</v>
      </c>
      <c r="E117">
        <v>2022</v>
      </c>
      <c r="F117">
        <v>2</v>
      </c>
      <c r="G117" t="s">
        <v>78</v>
      </c>
      <c r="H117">
        <v>126.5</v>
      </c>
      <c r="I117">
        <v>145.35714290000001</v>
      </c>
      <c r="J117">
        <v>787.28</v>
      </c>
      <c r="K117">
        <v>126.05</v>
      </c>
      <c r="L117">
        <v>58.9</v>
      </c>
    </row>
    <row r="118" spans="1:12">
      <c r="A118">
        <v>76</v>
      </c>
      <c r="B118" t="s">
        <v>91</v>
      </c>
      <c r="C118">
        <v>43.464300000000001</v>
      </c>
      <c r="D118">
        <v>-80.520399999999995</v>
      </c>
      <c r="E118">
        <v>2022</v>
      </c>
      <c r="F118">
        <v>3</v>
      </c>
      <c r="G118" t="s">
        <v>79</v>
      </c>
      <c r="H118">
        <v>128.5</v>
      </c>
      <c r="I118">
        <v>145.35714290000001</v>
      </c>
      <c r="J118">
        <v>787.28</v>
      </c>
      <c r="K118">
        <v>130.05000000000001</v>
      </c>
      <c r="L118">
        <v>58</v>
      </c>
    </row>
    <row r="119" spans="1:12">
      <c r="A119">
        <v>76</v>
      </c>
      <c r="B119" t="s">
        <v>91</v>
      </c>
      <c r="C119">
        <v>43.464300000000001</v>
      </c>
      <c r="D119">
        <v>-80.520399999999995</v>
      </c>
      <c r="E119">
        <v>2022</v>
      </c>
      <c r="F119">
        <v>4</v>
      </c>
      <c r="G119" t="s">
        <v>80</v>
      </c>
      <c r="H119">
        <v>131.30000000000001</v>
      </c>
      <c r="I119">
        <v>145.35714290000001</v>
      </c>
      <c r="J119">
        <v>787.28</v>
      </c>
      <c r="K119">
        <v>133.65</v>
      </c>
      <c r="L119">
        <v>83.6</v>
      </c>
    </row>
    <row r="120" spans="1:12">
      <c r="A120">
        <v>76</v>
      </c>
      <c r="B120" t="s">
        <v>91</v>
      </c>
      <c r="C120">
        <v>43.464300000000001</v>
      </c>
      <c r="D120">
        <v>-80.520399999999995</v>
      </c>
      <c r="E120">
        <v>2022</v>
      </c>
      <c r="F120">
        <v>5</v>
      </c>
      <c r="G120" t="s">
        <v>81</v>
      </c>
      <c r="H120">
        <v>131.80000000000001</v>
      </c>
      <c r="I120">
        <v>145.35714290000001</v>
      </c>
      <c r="J120">
        <v>787.28</v>
      </c>
      <c r="K120">
        <v>135.57499999999999</v>
      </c>
      <c r="L120">
        <v>91</v>
      </c>
    </row>
    <row r="121" spans="1:12">
      <c r="A121">
        <v>76</v>
      </c>
      <c r="B121" t="s">
        <v>91</v>
      </c>
      <c r="C121">
        <v>43.464300000000001</v>
      </c>
      <c r="D121">
        <v>-80.520399999999995</v>
      </c>
      <c r="E121">
        <v>2022</v>
      </c>
      <c r="F121">
        <v>6</v>
      </c>
      <c r="G121" t="s">
        <v>82</v>
      </c>
      <c r="H121">
        <v>131.1</v>
      </c>
      <c r="I121">
        <v>145.35714290000001</v>
      </c>
      <c r="J121">
        <v>787.28</v>
      </c>
      <c r="K121">
        <v>137.19999999999999</v>
      </c>
      <c r="L121">
        <v>103.3</v>
      </c>
    </row>
    <row r="122" spans="1:12">
      <c r="A122">
        <v>76</v>
      </c>
      <c r="B122" t="s">
        <v>91</v>
      </c>
      <c r="C122">
        <v>43.464300000000001</v>
      </c>
      <c r="D122">
        <v>-80.520399999999995</v>
      </c>
      <c r="E122">
        <v>2022</v>
      </c>
      <c r="F122">
        <v>7</v>
      </c>
      <c r="G122" t="s">
        <v>83</v>
      </c>
      <c r="H122">
        <v>129.80000000000001</v>
      </c>
      <c r="I122">
        <v>145.35714290000001</v>
      </c>
      <c r="J122">
        <v>787.28</v>
      </c>
      <c r="K122">
        <v>139.75</v>
      </c>
      <c r="L122">
        <v>89</v>
      </c>
    </row>
    <row r="123" spans="1:12">
      <c r="A123">
        <v>76</v>
      </c>
      <c r="B123" t="s">
        <v>91</v>
      </c>
      <c r="C123">
        <v>43.464300000000001</v>
      </c>
      <c r="D123">
        <v>-80.520399999999995</v>
      </c>
      <c r="E123">
        <v>2022</v>
      </c>
      <c r="F123">
        <v>8</v>
      </c>
      <c r="G123" t="s">
        <v>84</v>
      </c>
      <c r="H123">
        <v>129.69999999999999</v>
      </c>
      <c r="I123">
        <v>145.35714290000001</v>
      </c>
      <c r="J123">
        <v>787.28</v>
      </c>
      <c r="K123">
        <v>140.15</v>
      </c>
      <c r="L123">
        <v>189.1</v>
      </c>
    </row>
    <row r="124" spans="1:12">
      <c r="A124">
        <v>76</v>
      </c>
      <c r="B124" t="s">
        <v>91</v>
      </c>
      <c r="C124">
        <v>43.464300000000001</v>
      </c>
      <c r="D124">
        <v>-80.520399999999995</v>
      </c>
      <c r="E124">
        <v>2022</v>
      </c>
      <c r="F124">
        <v>9</v>
      </c>
      <c r="G124" t="s">
        <v>85</v>
      </c>
      <c r="H124">
        <v>130.1</v>
      </c>
      <c r="I124">
        <v>145.35714290000001</v>
      </c>
      <c r="J124">
        <v>787.28</v>
      </c>
      <c r="K124">
        <v>142.25</v>
      </c>
      <c r="L124">
        <v>65.3</v>
      </c>
    </row>
    <row r="125" spans="1:12">
      <c r="A125">
        <v>76</v>
      </c>
      <c r="B125" t="s">
        <v>91</v>
      </c>
      <c r="C125">
        <v>43.464300000000001</v>
      </c>
      <c r="D125">
        <v>-80.520399999999995</v>
      </c>
      <c r="E125">
        <v>2022</v>
      </c>
      <c r="F125">
        <v>10</v>
      </c>
      <c r="G125" t="s">
        <v>86</v>
      </c>
      <c r="H125">
        <v>129.69999999999999</v>
      </c>
      <c r="I125">
        <v>145.35714290000001</v>
      </c>
      <c r="J125">
        <v>787.28</v>
      </c>
      <c r="K125">
        <v>152.27500000000001</v>
      </c>
      <c r="L125">
        <v>29.6</v>
      </c>
    </row>
    <row r="126" spans="1:12">
      <c r="A126">
        <v>76</v>
      </c>
      <c r="B126" t="s">
        <v>91</v>
      </c>
      <c r="C126">
        <v>43.464300000000001</v>
      </c>
      <c r="D126">
        <v>-80.520399999999995</v>
      </c>
      <c r="E126">
        <v>2022</v>
      </c>
      <c r="F126">
        <v>11</v>
      </c>
      <c r="G126" t="s">
        <v>87</v>
      </c>
      <c r="H126">
        <v>130.5</v>
      </c>
      <c r="I126">
        <v>145.35714290000001</v>
      </c>
      <c r="J126">
        <v>787.28</v>
      </c>
      <c r="K126">
        <v>152.97499999999999</v>
      </c>
      <c r="L126">
        <v>64.3</v>
      </c>
    </row>
    <row r="127" spans="1:12">
      <c r="A127">
        <v>76</v>
      </c>
      <c r="B127" t="s">
        <v>91</v>
      </c>
      <c r="C127">
        <v>43.464300000000001</v>
      </c>
      <c r="D127">
        <v>-80.520399999999995</v>
      </c>
      <c r="E127">
        <v>2022</v>
      </c>
      <c r="F127">
        <v>12</v>
      </c>
      <c r="G127" t="s">
        <v>88</v>
      </c>
      <c r="H127">
        <v>130.30000000000001</v>
      </c>
      <c r="I127">
        <v>145.35714290000001</v>
      </c>
      <c r="J127">
        <v>787.28</v>
      </c>
      <c r="K127">
        <v>149.77500000000001</v>
      </c>
      <c r="L127">
        <v>105.7</v>
      </c>
    </row>
    <row r="128" spans="1:12">
      <c r="A128">
        <v>76</v>
      </c>
      <c r="B128" t="s">
        <v>91</v>
      </c>
      <c r="C128">
        <v>43.464300000000001</v>
      </c>
      <c r="D128">
        <v>-80.520399999999995</v>
      </c>
      <c r="E128">
        <v>2023</v>
      </c>
      <c r="F128">
        <v>1</v>
      </c>
      <c r="G128" t="s">
        <v>77</v>
      </c>
      <c r="H128">
        <v>130.19999999999999</v>
      </c>
      <c r="I128">
        <v>149.875</v>
      </c>
      <c r="J128">
        <v>792.83</v>
      </c>
      <c r="K128">
        <v>157.5</v>
      </c>
      <c r="L128">
        <v>78</v>
      </c>
    </row>
    <row r="129" spans="1:12">
      <c r="A129">
        <v>76</v>
      </c>
      <c r="B129" t="s">
        <v>91</v>
      </c>
      <c r="C129">
        <v>43.464300000000001</v>
      </c>
      <c r="D129">
        <v>-80.520399999999995</v>
      </c>
      <c r="E129">
        <v>2023</v>
      </c>
      <c r="F129">
        <v>2</v>
      </c>
      <c r="G129" t="s">
        <v>78</v>
      </c>
      <c r="H129">
        <v>128.80000000000001</v>
      </c>
      <c r="I129">
        <v>149.875</v>
      </c>
      <c r="J129">
        <v>792.83</v>
      </c>
      <c r="K129">
        <v>168.32499999999999</v>
      </c>
      <c r="L129">
        <v>66.400000000000006</v>
      </c>
    </row>
    <row r="130" spans="1:12">
      <c r="A130">
        <v>76</v>
      </c>
      <c r="B130" t="s">
        <v>91</v>
      </c>
      <c r="C130">
        <v>43.464300000000001</v>
      </c>
      <c r="D130">
        <v>-80.520399999999995</v>
      </c>
      <c r="E130">
        <v>2023</v>
      </c>
      <c r="F130">
        <v>3</v>
      </c>
      <c r="G130" t="s">
        <v>79</v>
      </c>
      <c r="H130">
        <v>128.6</v>
      </c>
      <c r="I130">
        <v>149.875</v>
      </c>
      <c r="J130">
        <v>792.83</v>
      </c>
      <c r="K130">
        <v>194.42500000000001</v>
      </c>
      <c r="L130">
        <v>61.4</v>
      </c>
    </row>
    <row r="131" spans="1:12">
      <c r="A131">
        <v>76</v>
      </c>
      <c r="B131" t="s">
        <v>91</v>
      </c>
      <c r="C131">
        <v>43.464300000000001</v>
      </c>
      <c r="D131">
        <v>-80.520399999999995</v>
      </c>
      <c r="E131">
        <v>2023</v>
      </c>
      <c r="F131">
        <v>4</v>
      </c>
      <c r="G131" t="s">
        <v>80</v>
      </c>
      <c r="H131">
        <v>129.4</v>
      </c>
      <c r="I131">
        <v>149.875</v>
      </c>
      <c r="J131">
        <v>792.83</v>
      </c>
      <c r="K131">
        <v>199.72499999999999</v>
      </c>
      <c r="L131">
        <v>107.9</v>
      </c>
    </row>
    <row r="132" spans="1:12">
      <c r="A132">
        <v>76</v>
      </c>
      <c r="B132" t="s">
        <v>91</v>
      </c>
      <c r="C132">
        <v>43.464300000000001</v>
      </c>
      <c r="D132">
        <v>-80.520399999999995</v>
      </c>
      <c r="E132">
        <v>2023</v>
      </c>
      <c r="F132">
        <v>5</v>
      </c>
      <c r="G132" t="s">
        <v>81</v>
      </c>
      <c r="H132">
        <v>130</v>
      </c>
      <c r="I132">
        <v>149.875</v>
      </c>
      <c r="J132">
        <v>792.83</v>
      </c>
      <c r="K132">
        <v>227.27500000000001</v>
      </c>
      <c r="L132">
        <v>53.9</v>
      </c>
    </row>
    <row r="133" spans="1:12">
      <c r="A133">
        <v>76</v>
      </c>
      <c r="B133" t="s">
        <v>91</v>
      </c>
      <c r="C133">
        <v>43.464300000000001</v>
      </c>
      <c r="D133">
        <v>-80.520399999999995</v>
      </c>
      <c r="E133">
        <v>2023</v>
      </c>
      <c r="F133">
        <v>6</v>
      </c>
      <c r="G133" t="s">
        <v>82</v>
      </c>
      <c r="H133">
        <v>130.5</v>
      </c>
      <c r="I133">
        <v>149.875</v>
      </c>
      <c r="J133">
        <v>792.83</v>
      </c>
      <c r="K133">
        <v>226.3</v>
      </c>
      <c r="L133">
        <v>82.8</v>
      </c>
    </row>
    <row r="134" spans="1:12">
      <c r="A134">
        <v>76</v>
      </c>
      <c r="B134" t="s">
        <v>91</v>
      </c>
      <c r="C134">
        <v>43.464300000000001</v>
      </c>
      <c r="D134">
        <v>-80.520399999999995</v>
      </c>
      <c r="E134">
        <v>2023</v>
      </c>
      <c r="F134">
        <v>7</v>
      </c>
      <c r="G134" t="s">
        <v>83</v>
      </c>
      <c r="H134">
        <v>130.30000000000001</v>
      </c>
      <c r="I134">
        <v>149.875</v>
      </c>
      <c r="J134">
        <v>792.83</v>
      </c>
      <c r="K134">
        <v>203.57499999999999</v>
      </c>
      <c r="L134">
        <v>142.4</v>
      </c>
    </row>
    <row r="135" spans="1:12">
      <c r="A135">
        <v>76</v>
      </c>
      <c r="B135" t="s">
        <v>91</v>
      </c>
      <c r="C135">
        <v>43.464300000000001</v>
      </c>
      <c r="D135">
        <v>-80.520399999999995</v>
      </c>
      <c r="E135">
        <v>2023</v>
      </c>
      <c r="F135">
        <v>8</v>
      </c>
      <c r="G135" t="s">
        <v>84</v>
      </c>
      <c r="H135">
        <v>130.80000000000001</v>
      </c>
      <c r="I135">
        <v>149.875</v>
      </c>
      <c r="J135">
        <v>792.83</v>
      </c>
      <c r="K135">
        <v>189.625</v>
      </c>
      <c r="L135">
        <v>110.8</v>
      </c>
    </row>
    <row r="136" spans="1:12">
      <c r="A136">
        <v>76</v>
      </c>
      <c r="B136" t="s">
        <v>91</v>
      </c>
      <c r="C136">
        <v>43.464300000000001</v>
      </c>
      <c r="D136">
        <v>-80.520399999999995</v>
      </c>
      <c r="E136">
        <v>2023</v>
      </c>
      <c r="F136">
        <v>9</v>
      </c>
      <c r="G136" t="s">
        <v>85</v>
      </c>
      <c r="H136">
        <v>131.19999999999999</v>
      </c>
      <c r="I136">
        <v>149.875</v>
      </c>
      <c r="J136">
        <v>792.83</v>
      </c>
      <c r="K136">
        <v>181.77500000000001</v>
      </c>
      <c r="L136">
        <v>24.7</v>
      </c>
    </row>
    <row r="137" spans="1:12">
      <c r="A137">
        <v>76</v>
      </c>
      <c r="B137" t="s">
        <v>91</v>
      </c>
      <c r="C137">
        <v>43.464300000000001</v>
      </c>
      <c r="D137">
        <v>-80.520399999999995</v>
      </c>
      <c r="E137">
        <v>2023</v>
      </c>
      <c r="F137">
        <v>10</v>
      </c>
      <c r="G137" t="s">
        <v>86</v>
      </c>
      <c r="H137">
        <v>131.9</v>
      </c>
      <c r="I137">
        <v>149.875</v>
      </c>
      <c r="J137">
        <v>792.83</v>
      </c>
      <c r="K137">
        <v>204.47499999999999</v>
      </c>
      <c r="L137">
        <v>78.400000000000006</v>
      </c>
    </row>
    <row r="138" spans="1:12">
      <c r="A138">
        <v>76</v>
      </c>
      <c r="B138" t="s">
        <v>91</v>
      </c>
      <c r="C138">
        <v>43.464300000000001</v>
      </c>
      <c r="D138">
        <v>-80.520399999999995</v>
      </c>
      <c r="E138">
        <v>2023</v>
      </c>
      <c r="F138">
        <v>11</v>
      </c>
      <c r="G138" t="s">
        <v>87</v>
      </c>
      <c r="H138">
        <v>132.1</v>
      </c>
      <c r="I138">
        <v>149.875</v>
      </c>
      <c r="J138">
        <v>792.83</v>
      </c>
      <c r="K138">
        <v>211.375</v>
      </c>
      <c r="L138">
        <v>28.7</v>
      </c>
    </row>
    <row r="139" spans="1:12">
      <c r="A139">
        <v>76</v>
      </c>
      <c r="B139" t="s">
        <v>91</v>
      </c>
      <c r="C139">
        <v>43.464300000000001</v>
      </c>
      <c r="D139">
        <v>-80.520399999999995</v>
      </c>
      <c r="E139">
        <v>2023</v>
      </c>
      <c r="F139">
        <v>12</v>
      </c>
      <c r="G139" t="s">
        <v>88</v>
      </c>
      <c r="H139">
        <v>131.30000000000001</v>
      </c>
      <c r="I139">
        <v>149.875</v>
      </c>
      <c r="K139">
        <v>190.07499999999999</v>
      </c>
      <c r="L139">
        <v>90.5</v>
      </c>
    </row>
    <row r="140" spans="1:12">
      <c r="A140">
        <v>76</v>
      </c>
      <c r="B140" t="s">
        <v>91</v>
      </c>
      <c r="C140">
        <v>43.464300000000001</v>
      </c>
      <c r="D140">
        <v>-80.520399999999995</v>
      </c>
      <c r="E140">
        <v>2024</v>
      </c>
      <c r="F140">
        <v>1</v>
      </c>
      <c r="G140" t="s">
        <v>77</v>
      </c>
      <c r="H140">
        <v>131.19999999999999</v>
      </c>
      <c r="J140">
        <v>794.4</v>
      </c>
      <c r="K140">
        <v>189.35</v>
      </c>
      <c r="L140">
        <v>52</v>
      </c>
    </row>
    <row r="141" spans="1:12">
      <c r="A141">
        <v>76</v>
      </c>
      <c r="B141" t="s">
        <v>91</v>
      </c>
      <c r="C141">
        <v>43.464300000000001</v>
      </c>
      <c r="D141">
        <v>-80.520399999999995</v>
      </c>
      <c r="E141">
        <v>2024</v>
      </c>
      <c r="F141">
        <v>2</v>
      </c>
      <c r="G141" t="s">
        <v>78</v>
      </c>
      <c r="H141">
        <v>131.30000000000001</v>
      </c>
      <c r="J141">
        <v>794.75</v>
      </c>
      <c r="K141">
        <v>176.82499999999999</v>
      </c>
      <c r="L141">
        <v>16</v>
      </c>
    </row>
    <row r="142" spans="1:12">
      <c r="A142">
        <v>76</v>
      </c>
      <c r="B142" t="s">
        <v>91</v>
      </c>
      <c r="C142">
        <v>43.464300000000001</v>
      </c>
      <c r="D142">
        <v>-80.520399999999995</v>
      </c>
      <c r="E142">
        <v>2024</v>
      </c>
      <c r="F142">
        <v>3</v>
      </c>
      <c r="G142" t="s">
        <v>79</v>
      </c>
      <c r="H142">
        <v>131.19999999999999</v>
      </c>
      <c r="J142">
        <v>795.09</v>
      </c>
      <c r="K142">
        <v>174.52500000000001</v>
      </c>
      <c r="L142">
        <v>39.4</v>
      </c>
    </row>
    <row r="143" spans="1:12">
      <c r="A143">
        <v>76</v>
      </c>
      <c r="B143" t="s">
        <v>91</v>
      </c>
      <c r="C143">
        <v>43.464300000000001</v>
      </c>
      <c r="D143">
        <v>-80.520399999999995</v>
      </c>
      <c r="E143">
        <v>2024</v>
      </c>
      <c r="F143">
        <v>4</v>
      </c>
      <c r="G143" t="s">
        <v>80</v>
      </c>
      <c r="H143">
        <v>129.80000000000001</v>
      </c>
      <c r="J143">
        <v>795.44</v>
      </c>
      <c r="K143">
        <v>178</v>
      </c>
      <c r="L143">
        <v>107.8</v>
      </c>
    </row>
    <row r="144" spans="1:12">
      <c r="A144">
        <v>76</v>
      </c>
      <c r="B144" t="s">
        <v>91</v>
      </c>
      <c r="C144">
        <v>43.464300000000001</v>
      </c>
      <c r="D144">
        <v>-80.520399999999995</v>
      </c>
      <c r="E144">
        <v>2024</v>
      </c>
      <c r="F144">
        <v>5</v>
      </c>
      <c r="G144" t="s">
        <v>81</v>
      </c>
      <c r="H144">
        <v>128.19999999999999</v>
      </c>
      <c r="J144">
        <v>795.79</v>
      </c>
      <c r="K144">
        <v>170.65</v>
      </c>
      <c r="L144">
        <v>98.1</v>
      </c>
    </row>
    <row r="145" spans="1:12">
      <c r="A145">
        <v>76</v>
      </c>
      <c r="B145" t="s">
        <v>91</v>
      </c>
      <c r="C145">
        <v>43.464300000000001</v>
      </c>
      <c r="D145">
        <v>-80.520399999999995</v>
      </c>
      <c r="E145">
        <v>2024</v>
      </c>
      <c r="F145">
        <v>6</v>
      </c>
      <c r="G145" t="s">
        <v>82</v>
      </c>
      <c r="H145">
        <v>127.4</v>
      </c>
      <c r="J145">
        <v>796.14</v>
      </c>
      <c r="K145">
        <v>167.95</v>
      </c>
      <c r="L145">
        <v>149.5</v>
      </c>
    </row>
    <row r="146" spans="1:12">
      <c r="A146">
        <v>76</v>
      </c>
      <c r="B146" t="s">
        <v>91</v>
      </c>
      <c r="C146">
        <v>43.464300000000001</v>
      </c>
      <c r="D146">
        <v>-80.520399999999995</v>
      </c>
      <c r="E146">
        <v>2024</v>
      </c>
      <c r="F146">
        <v>7</v>
      </c>
      <c r="G146" t="s">
        <v>83</v>
      </c>
      <c r="H146">
        <v>127.2</v>
      </c>
      <c r="J146">
        <v>796.48</v>
      </c>
      <c r="K146">
        <v>169</v>
      </c>
      <c r="L146">
        <v>154</v>
      </c>
    </row>
    <row r="147" spans="1:12">
      <c r="A147">
        <v>76</v>
      </c>
      <c r="B147" t="s">
        <v>91</v>
      </c>
      <c r="C147">
        <v>43.464300000000001</v>
      </c>
      <c r="D147">
        <v>-80.520399999999995</v>
      </c>
      <c r="E147">
        <v>2024</v>
      </c>
      <c r="F147">
        <v>8</v>
      </c>
      <c r="G147" t="s">
        <v>84</v>
      </c>
      <c r="H147">
        <v>127.4</v>
      </c>
      <c r="J147">
        <v>796.83</v>
      </c>
      <c r="K147">
        <v>179.375</v>
      </c>
      <c r="L147">
        <v>101.9</v>
      </c>
    </row>
    <row r="148" spans="1:12">
      <c r="A148">
        <v>76</v>
      </c>
      <c r="B148" t="s">
        <v>91</v>
      </c>
      <c r="C148">
        <v>43.464300000000001</v>
      </c>
      <c r="D148">
        <v>-80.520399999999995</v>
      </c>
      <c r="E148">
        <v>2024</v>
      </c>
      <c r="F148">
        <v>9</v>
      </c>
      <c r="G148" t="s">
        <v>85</v>
      </c>
      <c r="H148">
        <v>127.7</v>
      </c>
      <c r="J148">
        <v>797.18</v>
      </c>
      <c r="K148">
        <v>184.8</v>
      </c>
      <c r="L148">
        <v>44.3</v>
      </c>
    </row>
    <row r="149" spans="1:12">
      <c r="A149">
        <v>76</v>
      </c>
      <c r="B149" t="s">
        <v>91</v>
      </c>
      <c r="C149">
        <v>43.464300000000001</v>
      </c>
      <c r="D149">
        <v>-80.520399999999995</v>
      </c>
      <c r="E149">
        <v>2024</v>
      </c>
      <c r="F149">
        <v>10</v>
      </c>
      <c r="G149" t="s">
        <v>86</v>
      </c>
      <c r="H149">
        <v>127.8</v>
      </c>
      <c r="J149">
        <v>797.53</v>
      </c>
      <c r="K149">
        <v>179.7</v>
      </c>
      <c r="L149">
        <v>37.9</v>
      </c>
    </row>
    <row r="150" spans="1:12">
      <c r="A150">
        <v>76</v>
      </c>
      <c r="B150" t="s">
        <v>91</v>
      </c>
      <c r="C150">
        <v>43.464300000000001</v>
      </c>
      <c r="D150">
        <v>-80.520399999999995</v>
      </c>
      <c r="E150">
        <v>2024</v>
      </c>
      <c r="F150">
        <v>11</v>
      </c>
      <c r="G150" t="s">
        <v>87</v>
      </c>
      <c r="H150">
        <v>127.8</v>
      </c>
      <c r="J150">
        <v>797.87</v>
      </c>
      <c r="K150">
        <v>177.75</v>
      </c>
      <c r="L150">
        <v>52.1</v>
      </c>
    </row>
    <row r="151" spans="1:12">
      <c r="A151">
        <v>76</v>
      </c>
      <c r="B151" t="s">
        <v>91</v>
      </c>
      <c r="C151">
        <v>43.464300000000001</v>
      </c>
      <c r="D151">
        <v>-80.520399999999995</v>
      </c>
      <c r="E151">
        <v>2024</v>
      </c>
      <c r="F151">
        <v>12</v>
      </c>
      <c r="G151" t="s">
        <v>88</v>
      </c>
      <c r="H151">
        <v>127.9</v>
      </c>
      <c r="J151">
        <v>792.83</v>
      </c>
      <c r="K151">
        <v>169.95</v>
      </c>
      <c r="L151">
        <v>78.8</v>
      </c>
    </row>
    <row r="152" spans="1:12">
      <c r="A152">
        <v>77</v>
      </c>
      <c r="B152" t="s">
        <v>92</v>
      </c>
      <c r="C152">
        <v>49.895099999999999</v>
      </c>
      <c r="D152">
        <v>-97.138400000000004</v>
      </c>
      <c r="E152">
        <v>2022</v>
      </c>
      <c r="F152">
        <v>1</v>
      </c>
      <c r="G152" t="s">
        <v>77</v>
      </c>
      <c r="H152">
        <v>63.9</v>
      </c>
      <c r="I152">
        <v>145.64285709999999</v>
      </c>
      <c r="J152">
        <v>897.73</v>
      </c>
      <c r="K152">
        <v>120.75</v>
      </c>
      <c r="L152">
        <v>43</v>
      </c>
    </row>
    <row r="153" spans="1:12">
      <c r="A153">
        <v>77</v>
      </c>
      <c r="B153" t="s">
        <v>92</v>
      </c>
      <c r="C153">
        <v>49.895099999999999</v>
      </c>
      <c r="D153">
        <v>-97.138400000000004</v>
      </c>
      <c r="E153">
        <v>2022</v>
      </c>
      <c r="F153">
        <v>2</v>
      </c>
      <c r="G153" t="s">
        <v>78</v>
      </c>
      <c r="H153">
        <v>63.7</v>
      </c>
      <c r="I153">
        <v>145.64285709999999</v>
      </c>
      <c r="J153">
        <v>897.73</v>
      </c>
      <c r="K153">
        <v>125.875</v>
      </c>
      <c r="L153">
        <v>82.6</v>
      </c>
    </row>
    <row r="154" spans="1:12">
      <c r="A154">
        <v>77</v>
      </c>
      <c r="B154" t="s">
        <v>92</v>
      </c>
      <c r="C154">
        <v>49.895099999999999</v>
      </c>
      <c r="D154">
        <v>-97.138400000000004</v>
      </c>
      <c r="E154">
        <v>2022</v>
      </c>
      <c r="F154">
        <v>3</v>
      </c>
      <c r="G154" t="s">
        <v>79</v>
      </c>
      <c r="H154">
        <v>63.3</v>
      </c>
      <c r="I154">
        <v>145.64285709999999</v>
      </c>
      <c r="J154">
        <v>897.73</v>
      </c>
      <c r="K154">
        <v>131.07499999999999</v>
      </c>
      <c r="L154">
        <v>59</v>
      </c>
    </row>
    <row r="155" spans="1:12">
      <c r="A155">
        <v>77</v>
      </c>
      <c r="B155" t="s">
        <v>92</v>
      </c>
      <c r="C155">
        <v>49.895099999999999</v>
      </c>
      <c r="D155">
        <v>-97.138400000000004</v>
      </c>
      <c r="E155">
        <v>2022</v>
      </c>
      <c r="F155">
        <v>4</v>
      </c>
      <c r="G155" t="s">
        <v>80</v>
      </c>
      <c r="H155">
        <v>63.7</v>
      </c>
      <c r="I155">
        <v>145.64285709999999</v>
      </c>
      <c r="J155">
        <v>897.73</v>
      </c>
      <c r="K155">
        <v>133.375</v>
      </c>
      <c r="L155">
        <v>50</v>
      </c>
    </row>
    <row r="156" spans="1:12">
      <c r="A156">
        <v>77</v>
      </c>
      <c r="B156" t="s">
        <v>92</v>
      </c>
      <c r="C156">
        <v>49.895099999999999</v>
      </c>
      <c r="D156">
        <v>-97.138400000000004</v>
      </c>
      <c r="E156">
        <v>2022</v>
      </c>
      <c r="F156">
        <v>5</v>
      </c>
      <c r="G156" t="s">
        <v>81</v>
      </c>
      <c r="H156">
        <v>63.6</v>
      </c>
      <c r="I156">
        <v>145.64285709999999</v>
      </c>
      <c r="J156">
        <v>897.73</v>
      </c>
      <c r="K156">
        <v>136.875</v>
      </c>
      <c r="L156">
        <v>46.8</v>
      </c>
    </row>
    <row r="157" spans="1:12">
      <c r="A157">
        <v>77</v>
      </c>
      <c r="B157" t="s">
        <v>92</v>
      </c>
      <c r="C157">
        <v>49.895099999999999</v>
      </c>
      <c r="D157">
        <v>-97.138400000000004</v>
      </c>
      <c r="E157">
        <v>2022</v>
      </c>
      <c r="F157">
        <v>6</v>
      </c>
      <c r="G157" t="s">
        <v>82</v>
      </c>
      <c r="H157">
        <v>63.5</v>
      </c>
      <c r="I157">
        <v>145.64285709999999</v>
      </c>
      <c r="J157">
        <v>897.73</v>
      </c>
      <c r="K157">
        <v>138.97499999999999</v>
      </c>
      <c r="L157">
        <v>40.4</v>
      </c>
    </row>
    <row r="158" spans="1:12">
      <c r="A158">
        <v>77</v>
      </c>
      <c r="B158" t="s">
        <v>92</v>
      </c>
      <c r="C158">
        <v>49.895099999999999</v>
      </c>
      <c r="D158">
        <v>-97.138400000000004</v>
      </c>
      <c r="E158">
        <v>2022</v>
      </c>
      <c r="F158">
        <v>7</v>
      </c>
      <c r="G158" t="s">
        <v>83</v>
      </c>
      <c r="H158">
        <v>63.5</v>
      </c>
      <c r="I158">
        <v>145.64285709999999</v>
      </c>
      <c r="J158">
        <v>897.73</v>
      </c>
      <c r="K158">
        <v>141.42500000000001</v>
      </c>
      <c r="L158">
        <v>43.6</v>
      </c>
    </row>
    <row r="159" spans="1:12">
      <c r="A159">
        <v>77</v>
      </c>
      <c r="B159" t="s">
        <v>92</v>
      </c>
      <c r="C159">
        <v>49.895099999999999</v>
      </c>
      <c r="D159">
        <v>-97.138400000000004</v>
      </c>
      <c r="E159">
        <v>2022</v>
      </c>
      <c r="F159">
        <v>8</v>
      </c>
      <c r="G159" t="s">
        <v>84</v>
      </c>
      <c r="H159">
        <v>63.5</v>
      </c>
      <c r="I159">
        <v>145.64285709999999</v>
      </c>
      <c r="J159">
        <v>897.73</v>
      </c>
      <c r="K159">
        <v>142.22499999999999</v>
      </c>
      <c r="L159">
        <v>80.8</v>
      </c>
    </row>
    <row r="160" spans="1:12">
      <c r="A160">
        <v>77</v>
      </c>
      <c r="B160" t="s">
        <v>92</v>
      </c>
      <c r="C160">
        <v>49.895099999999999</v>
      </c>
      <c r="D160">
        <v>-97.138400000000004</v>
      </c>
      <c r="E160">
        <v>2022</v>
      </c>
      <c r="F160">
        <v>9</v>
      </c>
      <c r="G160" t="s">
        <v>85</v>
      </c>
      <c r="H160">
        <v>63.2</v>
      </c>
      <c r="I160">
        <v>145.64285709999999</v>
      </c>
      <c r="J160">
        <v>897.73</v>
      </c>
      <c r="K160">
        <v>143.92500000000001</v>
      </c>
      <c r="L160">
        <v>39.4</v>
      </c>
    </row>
    <row r="161" spans="1:12">
      <c r="A161">
        <v>77</v>
      </c>
      <c r="B161" t="s">
        <v>92</v>
      </c>
      <c r="C161">
        <v>49.895099999999999</v>
      </c>
      <c r="D161">
        <v>-97.138400000000004</v>
      </c>
      <c r="E161">
        <v>2022</v>
      </c>
      <c r="F161">
        <v>10</v>
      </c>
      <c r="G161" t="s">
        <v>86</v>
      </c>
      <c r="H161">
        <v>63</v>
      </c>
      <c r="I161">
        <v>145.64285709999999</v>
      </c>
      <c r="J161">
        <v>897.73</v>
      </c>
      <c r="K161">
        <v>151.32499999999999</v>
      </c>
      <c r="L161">
        <v>36.6</v>
      </c>
    </row>
    <row r="162" spans="1:12">
      <c r="A162">
        <v>77</v>
      </c>
      <c r="B162" t="s">
        <v>92</v>
      </c>
      <c r="C162">
        <v>49.895099999999999</v>
      </c>
      <c r="D162">
        <v>-97.138400000000004</v>
      </c>
      <c r="E162">
        <v>2022</v>
      </c>
      <c r="F162">
        <v>11</v>
      </c>
      <c r="G162" t="s">
        <v>87</v>
      </c>
      <c r="H162">
        <v>62.8</v>
      </c>
      <c r="I162">
        <v>145.64285709999999</v>
      </c>
      <c r="J162">
        <v>897.73</v>
      </c>
      <c r="K162">
        <v>152.1</v>
      </c>
      <c r="L162">
        <v>55.4</v>
      </c>
    </row>
    <row r="163" spans="1:12">
      <c r="A163">
        <v>77</v>
      </c>
      <c r="B163" t="s">
        <v>92</v>
      </c>
      <c r="C163">
        <v>49.895099999999999</v>
      </c>
      <c r="D163">
        <v>-97.138400000000004</v>
      </c>
      <c r="E163">
        <v>2022</v>
      </c>
      <c r="F163">
        <v>12</v>
      </c>
      <c r="G163" t="s">
        <v>88</v>
      </c>
      <c r="H163">
        <v>62.9</v>
      </c>
      <c r="I163">
        <v>145.64285709999999</v>
      </c>
      <c r="J163">
        <v>897.73</v>
      </c>
      <c r="K163">
        <v>148.52500000000001</v>
      </c>
      <c r="L163">
        <v>95.2</v>
      </c>
    </row>
    <row r="164" spans="1:12">
      <c r="A164">
        <v>77</v>
      </c>
      <c r="B164" t="s">
        <v>92</v>
      </c>
      <c r="C164">
        <v>49.895099999999999</v>
      </c>
      <c r="D164">
        <v>-97.138400000000004</v>
      </c>
      <c r="E164">
        <v>2023</v>
      </c>
      <c r="F164">
        <v>1</v>
      </c>
      <c r="G164" t="s">
        <v>77</v>
      </c>
      <c r="H164">
        <v>63.1</v>
      </c>
      <c r="I164">
        <v>150.6</v>
      </c>
      <c r="J164">
        <v>985.6</v>
      </c>
      <c r="K164">
        <v>157.42500000000001</v>
      </c>
      <c r="L164">
        <v>77.400000000000006</v>
      </c>
    </row>
    <row r="165" spans="1:12">
      <c r="A165">
        <v>77</v>
      </c>
      <c r="B165" t="s">
        <v>92</v>
      </c>
      <c r="C165">
        <v>49.895099999999999</v>
      </c>
      <c r="D165">
        <v>-97.138400000000004</v>
      </c>
      <c r="E165">
        <v>2023</v>
      </c>
      <c r="F165">
        <v>2</v>
      </c>
      <c r="G165" t="s">
        <v>78</v>
      </c>
      <c r="H165">
        <v>63.4</v>
      </c>
      <c r="I165">
        <v>150.6</v>
      </c>
      <c r="J165">
        <v>985.6</v>
      </c>
      <c r="K165">
        <v>169.9</v>
      </c>
      <c r="L165">
        <v>73.3</v>
      </c>
    </row>
    <row r="166" spans="1:12">
      <c r="A166">
        <v>77</v>
      </c>
      <c r="B166" t="s">
        <v>92</v>
      </c>
      <c r="C166">
        <v>49.895099999999999</v>
      </c>
      <c r="D166">
        <v>-97.138400000000004</v>
      </c>
      <c r="E166">
        <v>2023</v>
      </c>
      <c r="F166">
        <v>3</v>
      </c>
      <c r="G166" t="s">
        <v>79</v>
      </c>
      <c r="H166">
        <v>63.8</v>
      </c>
      <c r="I166">
        <v>150.6</v>
      </c>
      <c r="J166">
        <v>985.6</v>
      </c>
      <c r="K166">
        <v>193.72499999999999</v>
      </c>
      <c r="L166">
        <v>90</v>
      </c>
    </row>
    <row r="167" spans="1:12">
      <c r="A167">
        <v>77</v>
      </c>
      <c r="B167" t="s">
        <v>92</v>
      </c>
      <c r="C167">
        <v>49.895099999999999</v>
      </c>
      <c r="D167">
        <v>-97.138400000000004</v>
      </c>
      <c r="E167">
        <v>2023</v>
      </c>
      <c r="F167">
        <v>4</v>
      </c>
      <c r="G167" t="s">
        <v>80</v>
      </c>
      <c r="H167">
        <v>64</v>
      </c>
      <c r="I167">
        <v>150.6</v>
      </c>
      <c r="J167">
        <v>985.6</v>
      </c>
      <c r="K167">
        <v>195.67500000000001</v>
      </c>
      <c r="L167">
        <v>101.8</v>
      </c>
    </row>
    <row r="168" spans="1:12">
      <c r="A168">
        <v>77</v>
      </c>
      <c r="B168" t="s">
        <v>92</v>
      </c>
      <c r="C168">
        <v>49.895099999999999</v>
      </c>
      <c r="D168">
        <v>-97.138400000000004</v>
      </c>
      <c r="E168">
        <v>2023</v>
      </c>
      <c r="F168">
        <v>5</v>
      </c>
      <c r="G168" t="s">
        <v>81</v>
      </c>
      <c r="H168">
        <v>63.9</v>
      </c>
      <c r="I168">
        <v>150.6</v>
      </c>
      <c r="J168">
        <v>985.6</v>
      </c>
      <c r="K168">
        <v>226.5</v>
      </c>
      <c r="L168">
        <v>58.8</v>
      </c>
    </row>
    <row r="169" spans="1:12">
      <c r="A169">
        <v>77</v>
      </c>
      <c r="B169" t="s">
        <v>92</v>
      </c>
      <c r="C169">
        <v>49.895099999999999</v>
      </c>
      <c r="D169">
        <v>-97.138400000000004</v>
      </c>
      <c r="E169">
        <v>2023</v>
      </c>
      <c r="F169">
        <v>6</v>
      </c>
      <c r="G169" t="s">
        <v>82</v>
      </c>
      <c r="H169">
        <v>63.9</v>
      </c>
      <c r="I169">
        <v>150.6</v>
      </c>
      <c r="J169">
        <v>985.6</v>
      </c>
      <c r="K169">
        <v>222.42500000000001</v>
      </c>
      <c r="L169">
        <v>108</v>
      </c>
    </row>
    <row r="170" spans="1:12">
      <c r="A170">
        <v>77</v>
      </c>
      <c r="B170" t="s">
        <v>92</v>
      </c>
      <c r="C170">
        <v>49.895099999999999</v>
      </c>
      <c r="D170">
        <v>-97.138400000000004</v>
      </c>
      <c r="E170">
        <v>2023</v>
      </c>
      <c r="F170">
        <v>7</v>
      </c>
      <c r="G170" t="s">
        <v>83</v>
      </c>
      <c r="H170">
        <v>63.9</v>
      </c>
      <c r="I170">
        <v>150.6</v>
      </c>
      <c r="J170">
        <v>985.6</v>
      </c>
      <c r="K170">
        <v>199.72499999999999</v>
      </c>
      <c r="L170">
        <v>103.8</v>
      </c>
    </row>
    <row r="171" spans="1:12">
      <c r="A171">
        <v>77</v>
      </c>
      <c r="B171" t="s">
        <v>92</v>
      </c>
      <c r="C171">
        <v>49.895099999999999</v>
      </c>
      <c r="D171">
        <v>-97.138400000000004</v>
      </c>
      <c r="E171">
        <v>2023</v>
      </c>
      <c r="F171">
        <v>8</v>
      </c>
      <c r="G171" t="s">
        <v>84</v>
      </c>
      <c r="H171">
        <v>63.7</v>
      </c>
      <c r="I171">
        <v>150.6</v>
      </c>
      <c r="J171">
        <v>985.6</v>
      </c>
      <c r="K171">
        <v>186.05</v>
      </c>
      <c r="L171">
        <v>59.2</v>
      </c>
    </row>
    <row r="172" spans="1:12">
      <c r="A172">
        <v>77</v>
      </c>
      <c r="B172" t="s">
        <v>92</v>
      </c>
      <c r="C172">
        <v>49.895099999999999</v>
      </c>
      <c r="D172">
        <v>-97.138400000000004</v>
      </c>
      <c r="E172">
        <v>2023</v>
      </c>
      <c r="F172">
        <v>9</v>
      </c>
      <c r="G172" t="s">
        <v>85</v>
      </c>
      <c r="H172">
        <v>63.5</v>
      </c>
      <c r="I172">
        <v>150.6</v>
      </c>
      <c r="J172">
        <v>985.6</v>
      </c>
      <c r="K172">
        <v>178.625</v>
      </c>
      <c r="L172">
        <v>11.2</v>
      </c>
    </row>
    <row r="173" spans="1:12">
      <c r="A173">
        <v>77</v>
      </c>
      <c r="B173" t="s">
        <v>92</v>
      </c>
      <c r="C173">
        <v>49.895099999999999</v>
      </c>
      <c r="D173">
        <v>-97.138400000000004</v>
      </c>
      <c r="E173">
        <v>2023</v>
      </c>
      <c r="F173">
        <v>10</v>
      </c>
      <c r="G173" t="s">
        <v>86</v>
      </c>
      <c r="H173">
        <v>63.1</v>
      </c>
      <c r="I173">
        <v>150.6</v>
      </c>
      <c r="J173">
        <v>985.6</v>
      </c>
      <c r="K173">
        <v>201.55</v>
      </c>
      <c r="L173">
        <v>40.1</v>
      </c>
    </row>
    <row r="174" spans="1:12">
      <c r="A174">
        <v>77</v>
      </c>
      <c r="B174" t="s">
        <v>92</v>
      </c>
      <c r="C174">
        <v>49.895099999999999</v>
      </c>
      <c r="D174">
        <v>-97.138400000000004</v>
      </c>
      <c r="E174">
        <v>2023</v>
      </c>
      <c r="F174">
        <v>11</v>
      </c>
      <c r="G174" t="s">
        <v>87</v>
      </c>
      <c r="H174">
        <v>63</v>
      </c>
      <c r="I174">
        <v>150.6</v>
      </c>
      <c r="J174">
        <v>985.6</v>
      </c>
      <c r="K174">
        <v>204</v>
      </c>
      <c r="L174">
        <v>54.2</v>
      </c>
    </row>
    <row r="175" spans="1:12">
      <c r="A175">
        <v>77</v>
      </c>
      <c r="B175" t="s">
        <v>92</v>
      </c>
      <c r="C175">
        <v>49.895099999999999</v>
      </c>
      <c r="D175">
        <v>-97.138400000000004</v>
      </c>
      <c r="E175">
        <v>2023</v>
      </c>
      <c r="F175">
        <v>12</v>
      </c>
      <c r="G175" t="s">
        <v>88</v>
      </c>
      <c r="H175">
        <v>62.6</v>
      </c>
      <c r="I175">
        <v>150.6</v>
      </c>
      <c r="K175">
        <v>186.77500000000001</v>
      </c>
      <c r="L175">
        <v>80.3</v>
      </c>
    </row>
    <row r="176" spans="1:12">
      <c r="A176">
        <v>77</v>
      </c>
      <c r="B176" t="s">
        <v>92</v>
      </c>
      <c r="C176">
        <v>49.895099999999999</v>
      </c>
      <c r="D176">
        <v>-97.138400000000004</v>
      </c>
      <c r="E176">
        <v>2024</v>
      </c>
      <c r="F176">
        <v>1</v>
      </c>
      <c r="G176" t="s">
        <v>77</v>
      </c>
      <c r="H176">
        <v>62.3</v>
      </c>
      <c r="J176">
        <v>1010.43</v>
      </c>
      <c r="K176">
        <v>184.95</v>
      </c>
      <c r="L176">
        <v>99.6</v>
      </c>
    </row>
    <row r="177" spans="1:12">
      <c r="A177">
        <v>77</v>
      </c>
      <c r="B177" t="s">
        <v>92</v>
      </c>
      <c r="C177">
        <v>49.895099999999999</v>
      </c>
      <c r="D177">
        <v>-97.138400000000004</v>
      </c>
      <c r="E177">
        <v>2024</v>
      </c>
      <c r="F177">
        <v>2</v>
      </c>
      <c r="G177" t="s">
        <v>78</v>
      </c>
      <c r="H177">
        <v>62.1</v>
      </c>
      <c r="J177">
        <v>1015.93</v>
      </c>
      <c r="K177">
        <v>170</v>
      </c>
      <c r="L177">
        <v>33.6</v>
      </c>
    </row>
    <row r="178" spans="1:12">
      <c r="A178">
        <v>77</v>
      </c>
      <c r="B178" t="s">
        <v>92</v>
      </c>
      <c r="C178">
        <v>49.895099999999999</v>
      </c>
      <c r="D178">
        <v>-97.138400000000004</v>
      </c>
      <c r="E178">
        <v>2024</v>
      </c>
      <c r="F178">
        <v>3</v>
      </c>
      <c r="G178" t="s">
        <v>79</v>
      </c>
      <c r="H178">
        <v>62</v>
      </c>
      <c r="J178">
        <v>1021.44</v>
      </c>
      <c r="K178">
        <v>166.92500000000001</v>
      </c>
      <c r="L178">
        <v>56.7</v>
      </c>
    </row>
    <row r="179" spans="1:12">
      <c r="A179">
        <v>77</v>
      </c>
      <c r="B179" t="s">
        <v>92</v>
      </c>
      <c r="C179">
        <v>49.895099999999999</v>
      </c>
      <c r="D179">
        <v>-97.138400000000004</v>
      </c>
      <c r="E179">
        <v>2024</v>
      </c>
      <c r="F179">
        <v>4</v>
      </c>
      <c r="G179" t="s">
        <v>80</v>
      </c>
      <c r="H179">
        <v>62</v>
      </c>
      <c r="J179">
        <v>1026.94</v>
      </c>
      <c r="K179">
        <v>170.67500000000001</v>
      </c>
      <c r="L179">
        <v>135.5</v>
      </c>
    </row>
    <row r="180" spans="1:12">
      <c r="A180">
        <v>77</v>
      </c>
      <c r="B180" t="s">
        <v>92</v>
      </c>
      <c r="C180">
        <v>49.895099999999999</v>
      </c>
      <c r="D180">
        <v>-97.138400000000004</v>
      </c>
      <c r="E180">
        <v>2024</v>
      </c>
      <c r="F180">
        <v>5</v>
      </c>
      <c r="G180" t="s">
        <v>81</v>
      </c>
      <c r="H180">
        <v>62</v>
      </c>
      <c r="J180">
        <v>1032.44</v>
      </c>
      <c r="K180">
        <v>165.32499999999999</v>
      </c>
      <c r="L180">
        <v>76.8</v>
      </c>
    </row>
    <row r="181" spans="1:12">
      <c r="A181">
        <v>77</v>
      </c>
      <c r="B181" t="s">
        <v>92</v>
      </c>
      <c r="C181">
        <v>49.895099999999999</v>
      </c>
      <c r="D181">
        <v>-97.138400000000004</v>
      </c>
      <c r="E181">
        <v>2024</v>
      </c>
      <c r="F181">
        <v>6</v>
      </c>
      <c r="G181" t="s">
        <v>82</v>
      </c>
      <c r="H181">
        <v>61.8</v>
      </c>
      <c r="J181">
        <v>1037.94</v>
      </c>
      <c r="K181">
        <v>165.32499999999999</v>
      </c>
      <c r="L181">
        <v>114.1</v>
      </c>
    </row>
    <row r="182" spans="1:12">
      <c r="A182">
        <v>77</v>
      </c>
      <c r="B182" t="s">
        <v>92</v>
      </c>
      <c r="C182">
        <v>49.895099999999999</v>
      </c>
      <c r="D182">
        <v>-97.138400000000004</v>
      </c>
      <c r="E182">
        <v>2024</v>
      </c>
      <c r="F182">
        <v>7</v>
      </c>
      <c r="G182" t="s">
        <v>83</v>
      </c>
      <c r="H182">
        <v>61.6</v>
      </c>
      <c r="J182">
        <v>1043.44</v>
      </c>
      <c r="K182">
        <v>168.75</v>
      </c>
      <c r="L182">
        <v>215.4</v>
      </c>
    </row>
    <row r="183" spans="1:12">
      <c r="A183">
        <v>77</v>
      </c>
      <c r="B183" t="s">
        <v>92</v>
      </c>
      <c r="C183">
        <v>49.895099999999999</v>
      </c>
      <c r="D183">
        <v>-97.138400000000004</v>
      </c>
      <c r="E183">
        <v>2024</v>
      </c>
      <c r="F183">
        <v>8</v>
      </c>
      <c r="G183" t="s">
        <v>84</v>
      </c>
      <c r="H183">
        <v>61.4</v>
      </c>
      <c r="J183">
        <v>1048.94</v>
      </c>
      <c r="K183">
        <v>181.17500000000001</v>
      </c>
      <c r="L183">
        <v>181.8</v>
      </c>
    </row>
    <row r="184" spans="1:12">
      <c r="A184">
        <v>77</v>
      </c>
      <c r="B184" t="s">
        <v>92</v>
      </c>
      <c r="C184">
        <v>49.895099999999999</v>
      </c>
      <c r="D184">
        <v>-97.138400000000004</v>
      </c>
      <c r="E184">
        <v>2024</v>
      </c>
      <c r="F184">
        <v>9</v>
      </c>
      <c r="G184" t="s">
        <v>85</v>
      </c>
      <c r="H184">
        <v>61.2</v>
      </c>
      <c r="J184">
        <v>1054.44</v>
      </c>
      <c r="K184">
        <v>183.75</v>
      </c>
      <c r="L184">
        <v>98.5</v>
      </c>
    </row>
    <row r="185" spans="1:12">
      <c r="A185">
        <v>77</v>
      </c>
      <c r="B185" t="s">
        <v>92</v>
      </c>
      <c r="C185">
        <v>49.895099999999999</v>
      </c>
      <c r="D185">
        <v>-97.138400000000004</v>
      </c>
      <c r="E185">
        <v>2024</v>
      </c>
      <c r="F185">
        <v>10</v>
      </c>
      <c r="G185" t="s">
        <v>86</v>
      </c>
      <c r="H185">
        <v>61.2</v>
      </c>
      <c r="J185">
        <v>1059.95</v>
      </c>
      <c r="K185">
        <v>176.5</v>
      </c>
      <c r="L185">
        <v>29.5</v>
      </c>
    </row>
    <row r="186" spans="1:12">
      <c r="A186">
        <v>77</v>
      </c>
      <c r="B186" t="s">
        <v>92</v>
      </c>
      <c r="C186">
        <v>49.895099999999999</v>
      </c>
      <c r="D186">
        <v>-97.138400000000004</v>
      </c>
      <c r="E186">
        <v>2024</v>
      </c>
      <c r="F186">
        <v>11</v>
      </c>
      <c r="G186" t="s">
        <v>87</v>
      </c>
      <c r="H186">
        <v>61.1</v>
      </c>
      <c r="J186">
        <v>1065.45</v>
      </c>
      <c r="K186">
        <v>173.57499999999999</v>
      </c>
      <c r="L186">
        <v>39.299999999999997</v>
      </c>
    </row>
    <row r="187" spans="1:12">
      <c r="A187">
        <v>77</v>
      </c>
      <c r="B187" t="s">
        <v>92</v>
      </c>
      <c r="C187">
        <v>49.895099999999999</v>
      </c>
      <c r="D187">
        <v>-97.138400000000004</v>
      </c>
      <c r="E187">
        <v>2024</v>
      </c>
      <c r="F187">
        <v>12</v>
      </c>
      <c r="G187" t="s">
        <v>88</v>
      </c>
      <c r="H187">
        <v>61.1</v>
      </c>
      <c r="J187">
        <v>985.6</v>
      </c>
      <c r="K187">
        <v>164.57499999999999</v>
      </c>
      <c r="L187">
        <v>64.400000000000006</v>
      </c>
    </row>
    <row r="188" spans="1:12">
      <c r="A188">
        <v>78</v>
      </c>
      <c r="B188" t="s">
        <v>93</v>
      </c>
      <c r="C188">
        <v>43.588999999999999</v>
      </c>
      <c r="D188">
        <v>-79.644099999999995</v>
      </c>
      <c r="E188">
        <v>2022</v>
      </c>
      <c r="F188">
        <v>1</v>
      </c>
      <c r="G188" t="s">
        <v>77</v>
      </c>
      <c r="H188">
        <v>64.7</v>
      </c>
      <c r="I188">
        <v>139.6</v>
      </c>
      <c r="J188">
        <v>1133.75</v>
      </c>
      <c r="K188">
        <v>131.125</v>
      </c>
      <c r="L188">
        <v>147.30000000000001</v>
      </c>
    </row>
    <row r="189" spans="1:12">
      <c r="A189">
        <v>78</v>
      </c>
      <c r="B189" t="s">
        <v>93</v>
      </c>
      <c r="C189">
        <v>43.588999999999999</v>
      </c>
      <c r="D189">
        <v>-79.644099999999995</v>
      </c>
      <c r="E189">
        <v>2022</v>
      </c>
      <c r="F189">
        <v>2</v>
      </c>
      <c r="G189" t="s">
        <v>78</v>
      </c>
      <c r="H189">
        <v>64.900000000000006</v>
      </c>
      <c r="I189">
        <v>139.6</v>
      </c>
      <c r="J189">
        <v>1133.75</v>
      </c>
      <c r="K189">
        <v>136.9</v>
      </c>
      <c r="L189">
        <v>59.7</v>
      </c>
    </row>
    <row r="190" spans="1:12">
      <c r="A190">
        <v>78</v>
      </c>
      <c r="B190" t="s">
        <v>93</v>
      </c>
      <c r="C190">
        <v>43.588999999999999</v>
      </c>
      <c r="D190">
        <v>-79.644099999999995</v>
      </c>
      <c r="E190">
        <v>2022</v>
      </c>
      <c r="F190">
        <v>3</v>
      </c>
      <c r="G190" t="s">
        <v>79</v>
      </c>
      <c r="H190">
        <v>65.099999999999994</v>
      </c>
      <c r="I190">
        <v>139.6</v>
      </c>
      <c r="J190">
        <v>1133.75</v>
      </c>
      <c r="K190">
        <v>145.02500000000001</v>
      </c>
      <c r="L190">
        <v>153</v>
      </c>
    </row>
    <row r="191" spans="1:12">
      <c r="A191">
        <v>78</v>
      </c>
      <c r="B191" t="s">
        <v>93</v>
      </c>
      <c r="C191">
        <v>43.588999999999999</v>
      </c>
      <c r="D191">
        <v>-79.644099999999995</v>
      </c>
      <c r="E191">
        <v>2022</v>
      </c>
      <c r="F191">
        <v>4</v>
      </c>
      <c r="G191" t="s">
        <v>80</v>
      </c>
      <c r="H191">
        <v>65.2</v>
      </c>
      <c r="I191">
        <v>139.6</v>
      </c>
      <c r="J191">
        <v>1133.75</v>
      </c>
      <c r="K191">
        <v>146.80000000000001</v>
      </c>
      <c r="L191">
        <v>94.6</v>
      </c>
    </row>
    <row r="192" spans="1:12">
      <c r="A192">
        <v>78</v>
      </c>
      <c r="B192" t="s">
        <v>93</v>
      </c>
      <c r="C192">
        <v>43.588999999999999</v>
      </c>
      <c r="D192">
        <v>-79.644099999999995</v>
      </c>
      <c r="E192">
        <v>2022</v>
      </c>
      <c r="F192">
        <v>5</v>
      </c>
      <c r="G192" t="s">
        <v>81</v>
      </c>
      <c r="H192">
        <v>65.099999999999994</v>
      </c>
      <c r="I192">
        <v>139.6</v>
      </c>
      <c r="J192">
        <v>1133.75</v>
      </c>
      <c r="K192">
        <v>150.65</v>
      </c>
      <c r="L192">
        <v>92.1</v>
      </c>
    </row>
    <row r="193" spans="1:12">
      <c r="A193">
        <v>78</v>
      </c>
      <c r="B193" t="s">
        <v>93</v>
      </c>
      <c r="C193">
        <v>43.588999999999999</v>
      </c>
      <c r="D193">
        <v>-79.644099999999995</v>
      </c>
      <c r="E193">
        <v>2022</v>
      </c>
      <c r="F193">
        <v>6</v>
      </c>
      <c r="G193" t="s">
        <v>82</v>
      </c>
      <c r="H193">
        <v>64.900000000000006</v>
      </c>
      <c r="I193">
        <v>139.6</v>
      </c>
      <c r="J193">
        <v>1133.75</v>
      </c>
      <c r="K193">
        <v>155.80000000000001</v>
      </c>
      <c r="L193">
        <v>69.7</v>
      </c>
    </row>
    <row r="194" spans="1:12">
      <c r="A194">
        <v>78</v>
      </c>
      <c r="B194" t="s">
        <v>93</v>
      </c>
      <c r="C194">
        <v>43.588999999999999</v>
      </c>
      <c r="D194">
        <v>-79.644099999999995</v>
      </c>
      <c r="E194">
        <v>2022</v>
      </c>
      <c r="F194">
        <v>7</v>
      </c>
      <c r="G194" t="s">
        <v>83</v>
      </c>
      <c r="H194">
        <v>64.8</v>
      </c>
      <c r="I194">
        <v>139.6</v>
      </c>
      <c r="J194">
        <v>1133.75</v>
      </c>
      <c r="K194">
        <v>161.47499999999999</v>
      </c>
      <c r="L194">
        <v>27.9</v>
      </c>
    </row>
    <row r="195" spans="1:12">
      <c r="A195">
        <v>78</v>
      </c>
      <c r="B195" t="s">
        <v>93</v>
      </c>
      <c r="C195">
        <v>43.588999999999999</v>
      </c>
      <c r="D195">
        <v>-79.644099999999995</v>
      </c>
      <c r="E195">
        <v>2022</v>
      </c>
      <c r="F195">
        <v>8</v>
      </c>
      <c r="G195" t="s">
        <v>84</v>
      </c>
      <c r="H195">
        <v>64.8</v>
      </c>
      <c r="I195">
        <v>139.6</v>
      </c>
      <c r="J195">
        <v>1133.75</v>
      </c>
      <c r="K195">
        <v>160.82499999999999</v>
      </c>
      <c r="L195">
        <v>6.4</v>
      </c>
    </row>
    <row r="196" spans="1:12">
      <c r="A196">
        <v>78</v>
      </c>
      <c r="B196" t="s">
        <v>93</v>
      </c>
      <c r="C196">
        <v>43.588999999999999</v>
      </c>
      <c r="D196">
        <v>-79.644099999999995</v>
      </c>
      <c r="E196">
        <v>2022</v>
      </c>
      <c r="F196">
        <v>9</v>
      </c>
      <c r="G196" t="s">
        <v>85</v>
      </c>
      <c r="H196">
        <v>65.099999999999994</v>
      </c>
      <c r="I196">
        <v>139.6</v>
      </c>
      <c r="J196">
        <v>1133.75</v>
      </c>
      <c r="K196">
        <v>157.47499999999999</v>
      </c>
      <c r="L196">
        <v>7</v>
      </c>
    </row>
    <row r="197" spans="1:12">
      <c r="A197">
        <v>78</v>
      </c>
      <c r="B197" t="s">
        <v>93</v>
      </c>
      <c r="C197">
        <v>43.588999999999999</v>
      </c>
      <c r="D197">
        <v>-79.644099999999995</v>
      </c>
      <c r="E197">
        <v>2022</v>
      </c>
      <c r="F197">
        <v>10</v>
      </c>
      <c r="G197" t="s">
        <v>86</v>
      </c>
      <c r="H197">
        <v>65.099999999999994</v>
      </c>
      <c r="I197">
        <v>139.6</v>
      </c>
      <c r="J197">
        <v>1133.75</v>
      </c>
      <c r="K197">
        <v>164.27500000000001</v>
      </c>
      <c r="L197">
        <v>88.7</v>
      </c>
    </row>
    <row r="198" spans="1:12">
      <c r="A198">
        <v>78</v>
      </c>
      <c r="B198" t="s">
        <v>93</v>
      </c>
      <c r="C198">
        <v>43.588999999999999</v>
      </c>
      <c r="D198">
        <v>-79.644099999999995</v>
      </c>
      <c r="E198">
        <v>2022</v>
      </c>
      <c r="F198">
        <v>11</v>
      </c>
      <c r="G198" t="s">
        <v>87</v>
      </c>
      <c r="H198">
        <v>65.099999999999994</v>
      </c>
      <c r="I198">
        <v>139.6</v>
      </c>
      <c r="J198">
        <v>1133.75</v>
      </c>
      <c r="K198">
        <v>163.65</v>
      </c>
      <c r="L198">
        <v>113.8</v>
      </c>
    </row>
    <row r="199" spans="1:12">
      <c r="A199">
        <v>78</v>
      </c>
      <c r="B199" t="s">
        <v>93</v>
      </c>
      <c r="C199">
        <v>43.588999999999999</v>
      </c>
      <c r="D199">
        <v>-79.644099999999995</v>
      </c>
      <c r="E199">
        <v>2022</v>
      </c>
      <c r="F199">
        <v>12</v>
      </c>
      <c r="G199" t="s">
        <v>88</v>
      </c>
      <c r="H199">
        <v>65</v>
      </c>
      <c r="I199">
        <v>139.6</v>
      </c>
      <c r="J199">
        <v>1133.75</v>
      </c>
      <c r="K199">
        <v>161.52500000000001</v>
      </c>
      <c r="L199">
        <v>187.8</v>
      </c>
    </row>
    <row r="200" spans="1:12">
      <c r="A200">
        <v>78</v>
      </c>
      <c r="B200" t="s">
        <v>93</v>
      </c>
      <c r="C200">
        <v>43.588999999999999</v>
      </c>
      <c r="D200">
        <v>-79.644099999999995</v>
      </c>
      <c r="E200">
        <v>2023</v>
      </c>
      <c r="F200">
        <v>1</v>
      </c>
      <c r="G200" t="s">
        <v>77</v>
      </c>
      <c r="H200">
        <v>65.099999999999994</v>
      </c>
      <c r="I200">
        <v>143.3666667</v>
      </c>
      <c r="J200">
        <v>1141.58</v>
      </c>
      <c r="K200">
        <v>176.45</v>
      </c>
      <c r="L200">
        <v>122.7</v>
      </c>
    </row>
    <row r="201" spans="1:12">
      <c r="A201">
        <v>78</v>
      </c>
      <c r="B201" t="s">
        <v>93</v>
      </c>
      <c r="C201">
        <v>43.588999999999999</v>
      </c>
      <c r="D201">
        <v>-79.644099999999995</v>
      </c>
      <c r="E201">
        <v>2023</v>
      </c>
      <c r="F201">
        <v>2</v>
      </c>
      <c r="G201" t="s">
        <v>78</v>
      </c>
      <c r="H201">
        <v>65.099999999999994</v>
      </c>
      <c r="I201">
        <v>143.3666667</v>
      </c>
      <c r="J201">
        <v>1141.58</v>
      </c>
      <c r="K201">
        <v>181.65</v>
      </c>
      <c r="L201">
        <v>74.8</v>
      </c>
    </row>
    <row r="202" spans="1:12">
      <c r="A202">
        <v>78</v>
      </c>
      <c r="B202" t="s">
        <v>93</v>
      </c>
      <c r="C202">
        <v>43.588999999999999</v>
      </c>
      <c r="D202">
        <v>-79.644099999999995</v>
      </c>
      <c r="E202">
        <v>2023</v>
      </c>
      <c r="F202">
        <v>3</v>
      </c>
      <c r="G202" t="s">
        <v>79</v>
      </c>
      <c r="H202">
        <v>65.2</v>
      </c>
      <c r="I202">
        <v>143.3666667</v>
      </c>
      <c r="J202">
        <v>1141.58</v>
      </c>
      <c r="K202">
        <v>212.15</v>
      </c>
      <c r="L202">
        <v>38.4</v>
      </c>
    </row>
    <row r="203" spans="1:12">
      <c r="A203">
        <v>78</v>
      </c>
      <c r="B203" t="s">
        <v>93</v>
      </c>
      <c r="C203">
        <v>43.588999999999999</v>
      </c>
      <c r="D203">
        <v>-79.644099999999995</v>
      </c>
      <c r="E203">
        <v>2023</v>
      </c>
      <c r="F203">
        <v>4</v>
      </c>
      <c r="G203" t="s">
        <v>80</v>
      </c>
      <c r="H203">
        <v>65.099999999999994</v>
      </c>
      <c r="I203">
        <v>143.3666667</v>
      </c>
      <c r="J203">
        <v>1141.58</v>
      </c>
      <c r="K203">
        <v>205.65</v>
      </c>
      <c r="L203">
        <v>99.2</v>
      </c>
    </row>
    <row r="204" spans="1:12">
      <c r="A204">
        <v>78</v>
      </c>
      <c r="B204" t="s">
        <v>93</v>
      </c>
      <c r="C204">
        <v>43.588999999999999</v>
      </c>
      <c r="D204">
        <v>-79.644099999999995</v>
      </c>
      <c r="E204">
        <v>2023</v>
      </c>
      <c r="F204">
        <v>5</v>
      </c>
      <c r="G204" t="s">
        <v>81</v>
      </c>
      <c r="H204">
        <v>65</v>
      </c>
      <c r="I204">
        <v>143.3666667</v>
      </c>
      <c r="J204">
        <v>1141.58</v>
      </c>
      <c r="K204">
        <v>227</v>
      </c>
      <c r="L204">
        <v>16.100000000000001</v>
      </c>
    </row>
    <row r="205" spans="1:12">
      <c r="A205">
        <v>78</v>
      </c>
      <c r="B205" t="s">
        <v>93</v>
      </c>
      <c r="C205">
        <v>43.588999999999999</v>
      </c>
      <c r="D205">
        <v>-79.644099999999995</v>
      </c>
      <c r="E205">
        <v>2023</v>
      </c>
      <c r="F205">
        <v>6</v>
      </c>
      <c r="G205" t="s">
        <v>82</v>
      </c>
      <c r="H205">
        <v>65</v>
      </c>
      <c r="I205">
        <v>143.3666667</v>
      </c>
      <c r="J205">
        <v>1141.58</v>
      </c>
      <c r="K205">
        <v>240.02500000000001</v>
      </c>
      <c r="L205">
        <v>19.899999999999999</v>
      </c>
    </row>
    <row r="206" spans="1:12">
      <c r="A206">
        <v>78</v>
      </c>
      <c r="B206" t="s">
        <v>93</v>
      </c>
      <c r="C206">
        <v>43.588999999999999</v>
      </c>
      <c r="D206">
        <v>-79.644099999999995</v>
      </c>
      <c r="E206">
        <v>2023</v>
      </c>
      <c r="F206">
        <v>7</v>
      </c>
      <c r="G206" t="s">
        <v>83</v>
      </c>
      <c r="H206">
        <v>65</v>
      </c>
      <c r="I206">
        <v>143.3666667</v>
      </c>
      <c r="J206">
        <v>1141.58</v>
      </c>
      <c r="K206">
        <v>213.4</v>
      </c>
      <c r="L206">
        <v>20.5</v>
      </c>
    </row>
    <row r="207" spans="1:12">
      <c r="A207">
        <v>78</v>
      </c>
      <c r="B207" t="s">
        <v>93</v>
      </c>
      <c r="C207">
        <v>43.588999999999999</v>
      </c>
      <c r="D207">
        <v>-79.644099999999995</v>
      </c>
      <c r="E207">
        <v>2023</v>
      </c>
      <c r="F207">
        <v>8</v>
      </c>
      <c r="G207" t="s">
        <v>84</v>
      </c>
      <c r="H207">
        <v>65.099999999999994</v>
      </c>
      <c r="I207">
        <v>143.3666667</v>
      </c>
      <c r="J207">
        <v>1141.58</v>
      </c>
      <c r="K207">
        <v>196.67500000000001</v>
      </c>
      <c r="L207">
        <v>34.299999999999997</v>
      </c>
    </row>
    <row r="208" spans="1:12">
      <c r="A208">
        <v>78</v>
      </c>
      <c r="B208" t="s">
        <v>93</v>
      </c>
      <c r="C208">
        <v>43.588999999999999</v>
      </c>
      <c r="D208">
        <v>-79.644099999999995</v>
      </c>
      <c r="E208">
        <v>2023</v>
      </c>
      <c r="F208">
        <v>9</v>
      </c>
      <c r="G208" t="s">
        <v>85</v>
      </c>
      <c r="H208">
        <v>65.3</v>
      </c>
      <c r="I208">
        <v>143.3666667</v>
      </c>
      <c r="J208">
        <v>1141.58</v>
      </c>
      <c r="K208">
        <v>209.67500000000001</v>
      </c>
      <c r="L208">
        <v>33.299999999999997</v>
      </c>
    </row>
    <row r="209" spans="1:12">
      <c r="A209">
        <v>78</v>
      </c>
      <c r="B209" t="s">
        <v>93</v>
      </c>
      <c r="C209">
        <v>43.588999999999999</v>
      </c>
      <c r="D209">
        <v>-79.644099999999995</v>
      </c>
      <c r="E209">
        <v>2023</v>
      </c>
      <c r="F209">
        <v>10</v>
      </c>
      <c r="G209" t="s">
        <v>86</v>
      </c>
      <c r="H209">
        <v>65.5</v>
      </c>
      <c r="I209">
        <v>143.3666667</v>
      </c>
      <c r="J209">
        <v>1141.58</v>
      </c>
      <c r="K209">
        <v>225.27500000000001</v>
      </c>
      <c r="L209">
        <v>118.2</v>
      </c>
    </row>
    <row r="210" spans="1:12">
      <c r="A210">
        <v>78</v>
      </c>
      <c r="B210" t="s">
        <v>93</v>
      </c>
      <c r="C210">
        <v>43.588999999999999</v>
      </c>
      <c r="D210">
        <v>-79.644099999999995</v>
      </c>
      <c r="E210">
        <v>2023</v>
      </c>
      <c r="F210">
        <v>11</v>
      </c>
      <c r="G210" t="s">
        <v>87</v>
      </c>
      <c r="H210">
        <v>65.5</v>
      </c>
      <c r="I210">
        <v>143.3666667</v>
      </c>
      <c r="J210">
        <v>1141.58</v>
      </c>
      <c r="K210">
        <v>209</v>
      </c>
      <c r="L210">
        <v>112</v>
      </c>
    </row>
    <row r="211" spans="1:12">
      <c r="A211">
        <v>78</v>
      </c>
      <c r="B211" t="s">
        <v>93</v>
      </c>
      <c r="C211">
        <v>43.588999999999999</v>
      </c>
      <c r="D211">
        <v>-79.644099999999995</v>
      </c>
      <c r="E211">
        <v>2023</v>
      </c>
      <c r="F211">
        <v>12</v>
      </c>
      <c r="G211" t="s">
        <v>88</v>
      </c>
      <c r="H211">
        <v>65.5</v>
      </c>
      <c r="I211">
        <v>143.3666667</v>
      </c>
      <c r="K211">
        <v>178.42500000000001</v>
      </c>
      <c r="L211">
        <v>185.1</v>
      </c>
    </row>
    <row r="212" spans="1:12">
      <c r="A212">
        <v>78</v>
      </c>
      <c r="B212" t="s">
        <v>93</v>
      </c>
      <c r="C212">
        <v>43.588999999999999</v>
      </c>
      <c r="D212">
        <v>-79.644099999999995</v>
      </c>
      <c r="E212">
        <v>2024</v>
      </c>
      <c r="F212">
        <v>1</v>
      </c>
      <c r="G212" t="s">
        <v>77</v>
      </c>
      <c r="H212">
        <v>65.3</v>
      </c>
      <c r="J212">
        <v>1143.79</v>
      </c>
      <c r="K212">
        <v>190.57499999999999</v>
      </c>
      <c r="L212">
        <v>259.5</v>
      </c>
    </row>
    <row r="213" spans="1:12">
      <c r="A213">
        <v>78</v>
      </c>
      <c r="B213" t="s">
        <v>93</v>
      </c>
      <c r="C213">
        <v>43.588999999999999</v>
      </c>
      <c r="D213">
        <v>-79.644099999999995</v>
      </c>
      <c r="E213">
        <v>2024</v>
      </c>
      <c r="F213">
        <v>2</v>
      </c>
      <c r="G213" t="s">
        <v>78</v>
      </c>
      <c r="H213">
        <v>65.2</v>
      </c>
      <c r="J213">
        <v>1144.28</v>
      </c>
      <c r="K213">
        <v>191.92500000000001</v>
      </c>
      <c r="L213">
        <v>86.7</v>
      </c>
    </row>
    <row r="214" spans="1:12">
      <c r="A214">
        <v>78</v>
      </c>
      <c r="B214" t="s">
        <v>93</v>
      </c>
      <c r="C214">
        <v>43.588999999999999</v>
      </c>
      <c r="D214">
        <v>-79.644099999999995</v>
      </c>
      <c r="E214">
        <v>2024</v>
      </c>
      <c r="F214">
        <v>3</v>
      </c>
      <c r="G214" t="s">
        <v>79</v>
      </c>
      <c r="H214">
        <v>64.900000000000006</v>
      </c>
      <c r="J214">
        <v>1144.77</v>
      </c>
      <c r="K214">
        <v>188.25</v>
      </c>
      <c r="L214">
        <v>100.6</v>
      </c>
    </row>
    <row r="215" spans="1:12">
      <c r="A215">
        <v>78</v>
      </c>
      <c r="B215" t="s">
        <v>93</v>
      </c>
      <c r="C215">
        <v>43.588999999999999</v>
      </c>
      <c r="D215">
        <v>-79.644099999999995</v>
      </c>
      <c r="E215">
        <v>2024</v>
      </c>
      <c r="F215">
        <v>4</v>
      </c>
      <c r="G215" t="s">
        <v>80</v>
      </c>
      <c r="H215">
        <v>64.8</v>
      </c>
      <c r="J215">
        <v>1145.26</v>
      </c>
      <c r="K215">
        <v>189.82499999999999</v>
      </c>
      <c r="L215">
        <v>59.7</v>
      </c>
    </row>
    <row r="216" spans="1:12">
      <c r="A216">
        <v>78</v>
      </c>
      <c r="B216" t="s">
        <v>93</v>
      </c>
      <c r="C216">
        <v>43.588999999999999</v>
      </c>
      <c r="D216">
        <v>-79.644099999999995</v>
      </c>
      <c r="E216">
        <v>2024</v>
      </c>
      <c r="F216">
        <v>5</v>
      </c>
      <c r="G216" t="s">
        <v>81</v>
      </c>
      <c r="H216">
        <v>64.5</v>
      </c>
      <c r="J216">
        <v>1145.75</v>
      </c>
      <c r="K216">
        <v>186.22499999999999</v>
      </c>
      <c r="L216">
        <v>53.9</v>
      </c>
    </row>
    <row r="217" spans="1:12">
      <c r="A217">
        <v>78</v>
      </c>
      <c r="B217" t="s">
        <v>93</v>
      </c>
      <c r="C217">
        <v>43.588999999999999</v>
      </c>
      <c r="D217">
        <v>-79.644099999999995</v>
      </c>
      <c r="E217">
        <v>2024</v>
      </c>
      <c r="F217">
        <v>6</v>
      </c>
      <c r="G217" t="s">
        <v>82</v>
      </c>
      <c r="H217">
        <v>63.9</v>
      </c>
      <c r="J217">
        <v>1146.24</v>
      </c>
      <c r="K217">
        <v>193.72499999999999</v>
      </c>
      <c r="L217">
        <v>64.099999999999994</v>
      </c>
    </row>
    <row r="218" spans="1:12">
      <c r="A218">
        <v>78</v>
      </c>
      <c r="B218" t="s">
        <v>93</v>
      </c>
      <c r="C218">
        <v>43.588999999999999</v>
      </c>
      <c r="D218">
        <v>-79.644099999999995</v>
      </c>
      <c r="E218">
        <v>2024</v>
      </c>
      <c r="F218">
        <v>7</v>
      </c>
      <c r="G218" t="s">
        <v>83</v>
      </c>
      <c r="H218">
        <v>63.5</v>
      </c>
      <c r="J218">
        <v>1146.73</v>
      </c>
      <c r="K218">
        <v>193.125</v>
      </c>
      <c r="L218">
        <v>19.8</v>
      </c>
    </row>
    <row r="219" spans="1:12">
      <c r="A219">
        <v>78</v>
      </c>
      <c r="B219" t="s">
        <v>93</v>
      </c>
      <c r="C219">
        <v>43.588999999999999</v>
      </c>
      <c r="D219">
        <v>-79.644099999999995</v>
      </c>
      <c r="E219">
        <v>2024</v>
      </c>
      <c r="F219">
        <v>8</v>
      </c>
      <c r="G219" t="s">
        <v>84</v>
      </c>
      <c r="H219">
        <v>63</v>
      </c>
      <c r="J219">
        <v>1147.22</v>
      </c>
      <c r="K219">
        <v>211.57499999999999</v>
      </c>
      <c r="L219">
        <v>59.4</v>
      </c>
    </row>
    <row r="220" spans="1:12">
      <c r="A220">
        <v>78</v>
      </c>
      <c r="B220" t="s">
        <v>93</v>
      </c>
      <c r="C220">
        <v>43.588999999999999</v>
      </c>
      <c r="D220">
        <v>-79.644099999999995</v>
      </c>
      <c r="E220">
        <v>2024</v>
      </c>
      <c r="F220">
        <v>9</v>
      </c>
      <c r="G220" t="s">
        <v>85</v>
      </c>
      <c r="H220">
        <v>62.9</v>
      </c>
      <c r="J220">
        <v>1147.71</v>
      </c>
      <c r="K220">
        <v>216.6</v>
      </c>
      <c r="L220">
        <v>54.1</v>
      </c>
    </row>
    <row r="221" spans="1:12">
      <c r="A221">
        <v>78</v>
      </c>
      <c r="B221" t="s">
        <v>93</v>
      </c>
      <c r="C221">
        <v>43.588999999999999</v>
      </c>
      <c r="D221">
        <v>-79.644099999999995</v>
      </c>
      <c r="E221">
        <v>2024</v>
      </c>
      <c r="F221">
        <v>10</v>
      </c>
      <c r="G221" t="s">
        <v>86</v>
      </c>
      <c r="H221">
        <v>62.8</v>
      </c>
      <c r="J221">
        <v>1148.2</v>
      </c>
      <c r="K221">
        <v>198.32499999999999</v>
      </c>
      <c r="L221">
        <v>207.4</v>
      </c>
    </row>
    <row r="222" spans="1:12">
      <c r="A222">
        <v>78</v>
      </c>
      <c r="B222" t="s">
        <v>93</v>
      </c>
      <c r="C222">
        <v>43.588999999999999</v>
      </c>
      <c r="D222">
        <v>-79.644099999999995</v>
      </c>
      <c r="E222">
        <v>2024</v>
      </c>
      <c r="F222">
        <v>11</v>
      </c>
      <c r="G222" t="s">
        <v>87</v>
      </c>
      <c r="H222">
        <v>62.8</v>
      </c>
      <c r="J222">
        <v>1148.7</v>
      </c>
      <c r="K222">
        <v>191.57499999999999</v>
      </c>
      <c r="L222">
        <v>207.8</v>
      </c>
    </row>
    <row r="223" spans="1:12">
      <c r="A223">
        <v>78</v>
      </c>
      <c r="B223" t="s">
        <v>93</v>
      </c>
      <c r="C223">
        <v>43.588999999999999</v>
      </c>
      <c r="D223">
        <v>-79.644099999999995</v>
      </c>
      <c r="E223">
        <v>2024</v>
      </c>
      <c r="F223">
        <v>12</v>
      </c>
      <c r="G223" t="s">
        <v>88</v>
      </c>
      <c r="H223">
        <v>62.8</v>
      </c>
      <c r="J223">
        <v>1141.58</v>
      </c>
      <c r="K223">
        <v>171.7</v>
      </c>
      <c r="L223">
        <v>194</v>
      </c>
    </row>
    <row r="224" spans="1:12">
      <c r="A224">
        <v>79</v>
      </c>
      <c r="B224" t="s">
        <v>94</v>
      </c>
      <c r="C224">
        <v>45.5017</v>
      </c>
      <c r="D224">
        <v>-73.567300000000003</v>
      </c>
      <c r="E224">
        <v>2022</v>
      </c>
      <c r="F224">
        <v>1</v>
      </c>
      <c r="G224" t="s">
        <v>77</v>
      </c>
      <c r="H224">
        <v>65.099999999999994</v>
      </c>
      <c r="I224">
        <v>142.98571430000001</v>
      </c>
      <c r="J224">
        <v>1646.91</v>
      </c>
      <c r="K224">
        <v>109.875</v>
      </c>
      <c r="L224">
        <v>0</v>
      </c>
    </row>
    <row r="225" spans="1:12">
      <c r="A225">
        <v>79</v>
      </c>
      <c r="B225" t="s">
        <v>94</v>
      </c>
      <c r="C225">
        <v>45.5017</v>
      </c>
      <c r="D225">
        <v>-73.567300000000003</v>
      </c>
      <c r="E225">
        <v>2022</v>
      </c>
      <c r="F225">
        <v>2</v>
      </c>
      <c r="G225" t="s">
        <v>78</v>
      </c>
      <c r="H225">
        <v>65.2</v>
      </c>
      <c r="I225">
        <v>142.98571430000001</v>
      </c>
      <c r="J225">
        <v>1646.91</v>
      </c>
      <c r="K225">
        <v>115.52500000000001</v>
      </c>
      <c r="L225">
        <v>0</v>
      </c>
    </row>
    <row r="226" spans="1:12">
      <c r="A226">
        <v>79</v>
      </c>
      <c r="B226" t="s">
        <v>94</v>
      </c>
      <c r="C226">
        <v>45.5017</v>
      </c>
      <c r="D226">
        <v>-73.567300000000003</v>
      </c>
      <c r="E226">
        <v>2022</v>
      </c>
      <c r="F226">
        <v>3</v>
      </c>
      <c r="G226" t="s">
        <v>79</v>
      </c>
      <c r="H226">
        <v>65.2</v>
      </c>
      <c r="I226">
        <v>142.98571430000001</v>
      </c>
      <c r="J226">
        <v>1646.91</v>
      </c>
      <c r="K226">
        <v>121.95</v>
      </c>
      <c r="L226">
        <v>0</v>
      </c>
    </row>
    <row r="227" spans="1:12">
      <c r="A227">
        <v>79</v>
      </c>
      <c r="B227" t="s">
        <v>94</v>
      </c>
      <c r="C227">
        <v>45.5017</v>
      </c>
      <c r="D227">
        <v>-73.567300000000003</v>
      </c>
      <c r="E227">
        <v>2022</v>
      </c>
      <c r="F227">
        <v>4</v>
      </c>
      <c r="G227" t="s">
        <v>80</v>
      </c>
      <c r="H227">
        <v>65.3</v>
      </c>
      <c r="I227">
        <v>142.98571430000001</v>
      </c>
      <c r="J227">
        <v>1646.91</v>
      </c>
      <c r="K227">
        <v>125.47499999999999</v>
      </c>
      <c r="L227">
        <v>0</v>
      </c>
    </row>
    <row r="228" spans="1:12">
      <c r="A228">
        <v>79</v>
      </c>
      <c r="B228" t="s">
        <v>94</v>
      </c>
      <c r="C228">
        <v>45.5017</v>
      </c>
      <c r="D228">
        <v>-73.567300000000003</v>
      </c>
      <c r="E228">
        <v>2022</v>
      </c>
      <c r="F228">
        <v>5</v>
      </c>
      <c r="G228" t="s">
        <v>81</v>
      </c>
      <c r="H228">
        <v>65</v>
      </c>
      <c r="I228">
        <v>142.98571430000001</v>
      </c>
      <c r="J228">
        <v>1646.91</v>
      </c>
      <c r="K228">
        <v>130.17500000000001</v>
      </c>
      <c r="L228">
        <v>0</v>
      </c>
    </row>
    <row r="229" spans="1:12">
      <c r="A229">
        <v>79</v>
      </c>
      <c r="B229" t="s">
        <v>94</v>
      </c>
      <c r="C229">
        <v>45.5017</v>
      </c>
      <c r="D229">
        <v>-73.567300000000003</v>
      </c>
      <c r="E229">
        <v>2022</v>
      </c>
      <c r="F229">
        <v>6</v>
      </c>
      <c r="G229" t="s">
        <v>82</v>
      </c>
      <c r="H229">
        <v>65</v>
      </c>
      <c r="I229">
        <v>142.98571430000001</v>
      </c>
      <c r="J229">
        <v>1646.91</v>
      </c>
      <c r="K229">
        <v>129.94999999999999</v>
      </c>
      <c r="L229">
        <v>0</v>
      </c>
    </row>
    <row r="230" spans="1:12">
      <c r="A230">
        <v>79</v>
      </c>
      <c r="B230" t="s">
        <v>94</v>
      </c>
      <c r="C230">
        <v>45.5017</v>
      </c>
      <c r="D230">
        <v>-73.567300000000003</v>
      </c>
      <c r="E230">
        <v>2022</v>
      </c>
      <c r="F230">
        <v>7</v>
      </c>
      <c r="G230" t="s">
        <v>83</v>
      </c>
      <c r="H230">
        <v>64.900000000000006</v>
      </c>
      <c r="I230">
        <v>142.98571430000001</v>
      </c>
      <c r="J230">
        <v>1646.91</v>
      </c>
      <c r="K230">
        <v>132.05000000000001</v>
      </c>
      <c r="L230">
        <v>0</v>
      </c>
    </row>
    <row r="231" spans="1:12">
      <c r="A231">
        <v>79</v>
      </c>
      <c r="B231" t="s">
        <v>94</v>
      </c>
      <c r="C231">
        <v>45.5017</v>
      </c>
      <c r="D231">
        <v>-73.567300000000003</v>
      </c>
      <c r="E231">
        <v>2022</v>
      </c>
      <c r="F231">
        <v>8</v>
      </c>
      <c r="G231" t="s">
        <v>84</v>
      </c>
      <c r="H231">
        <v>65</v>
      </c>
      <c r="I231">
        <v>142.98571430000001</v>
      </c>
      <c r="J231">
        <v>1646.91</v>
      </c>
      <c r="K231">
        <v>132.27500000000001</v>
      </c>
      <c r="L231">
        <v>0</v>
      </c>
    </row>
    <row r="232" spans="1:12">
      <c r="A232">
        <v>79</v>
      </c>
      <c r="B232" t="s">
        <v>94</v>
      </c>
      <c r="C232">
        <v>45.5017</v>
      </c>
      <c r="D232">
        <v>-73.567300000000003</v>
      </c>
      <c r="E232">
        <v>2022</v>
      </c>
      <c r="F232">
        <v>9</v>
      </c>
      <c r="G232" t="s">
        <v>85</v>
      </c>
      <c r="H232">
        <v>65</v>
      </c>
      <c r="I232">
        <v>142.98571430000001</v>
      </c>
      <c r="J232">
        <v>1646.91</v>
      </c>
      <c r="K232">
        <v>133.80000000000001</v>
      </c>
      <c r="L232">
        <v>0</v>
      </c>
    </row>
    <row r="233" spans="1:12">
      <c r="A233">
        <v>79</v>
      </c>
      <c r="B233" t="s">
        <v>94</v>
      </c>
      <c r="C233">
        <v>45.5017</v>
      </c>
      <c r="D233">
        <v>-73.567300000000003</v>
      </c>
      <c r="E233">
        <v>2022</v>
      </c>
      <c r="F233">
        <v>10</v>
      </c>
      <c r="G233" t="s">
        <v>86</v>
      </c>
      <c r="H233">
        <v>65</v>
      </c>
      <c r="I233">
        <v>142.98571430000001</v>
      </c>
      <c r="J233">
        <v>1646.91</v>
      </c>
      <c r="K233">
        <v>143.77500000000001</v>
      </c>
      <c r="L233">
        <v>0</v>
      </c>
    </row>
    <row r="234" spans="1:12">
      <c r="A234">
        <v>79</v>
      </c>
      <c r="B234" t="s">
        <v>94</v>
      </c>
      <c r="C234">
        <v>45.5017</v>
      </c>
      <c r="D234">
        <v>-73.567300000000003</v>
      </c>
      <c r="E234">
        <v>2022</v>
      </c>
      <c r="F234">
        <v>11</v>
      </c>
      <c r="G234" t="s">
        <v>87</v>
      </c>
      <c r="H234">
        <v>65</v>
      </c>
      <c r="I234">
        <v>142.98571430000001</v>
      </c>
      <c r="J234">
        <v>1646.91</v>
      </c>
      <c r="K234">
        <v>142.15</v>
      </c>
      <c r="L234">
        <v>0</v>
      </c>
    </row>
    <row r="235" spans="1:12">
      <c r="A235">
        <v>79</v>
      </c>
      <c r="B235" t="s">
        <v>94</v>
      </c>
      <c r="C235">
        <v>45.5017</v>
      </c>
      <c r="D235">
        <v>-73.567300000000003</v>
      </c>
      <c r="E235">
        <v>2022</v>
      </c>
      <c r="F235">
        <v>12</v>
      </c>
      <c r="G235" t="s">
        <v>88</v>
      </c>
      <c r="H235">
        <v>65.099999999999994</v>
      </c>
      <c r="I235">
        <v>142.98571430000001</v>
      </c>
      <c r="J235">
        <v>1646.91</v>
      </c>
      <c r="K235">
        <v>136.72499999999999</v>
      </c>
      <c r="L235">
        <v>0</v>
      </c>
    </row>
    <row r="236" spans="1:12">
      <c r="A236">
        <v>79</v>
      </c>
      <c r="B236" t="s">
        <v>94</v>
      </c>
      <c r="C236">
        <v>45.5017</v>
      </c>
      <c r="D236">
        <v>-73.567300000000003</v>
      </c>
      <c r="E236">
        <v>2023</v>
      </c>
      <c r="F236">
        <v>1</v>
      </c>
      <c r="G236" t="s">
        <v>77</v>
      </c>
      <c r="H236">
        <v>64.7</v>
      </c>
      <c r="I236">
        <v>147.94999999999999</v>
      </c>
      <c r="J236">
        <v>1765.87</v>
      </c>
      <c r="K236">
        <v>144.15</v>
      </c>
      <c r="L236">
        <v>0</v>
      </c>
    </row>
    <row r="237" spans="1:12">
      <c r="A237">
        <v>79</v>
      </c>
      <c r="B237" t="s">
        <v>94</v>
      </c>
      <c r="C237">
        <v>45.5017</v>
      </c>
      <c r="D237">
        <v>-73.567300000000003</v>
      </c>
      <c r="E237">
        <v>2023</v>
      </c>
      <c r="F237">
        <v>2</v>
      </c>
      <c r="G237" t="s">
        <v>78</v>
      </c>
      <c r="H237">
        <v>64.7</v>
      </c>
      <c r="I237">
        <v>147.94999999999999</v>
      </c>
      <c r="J237">
        <v>1765.87</v>
      </c>
      <c r="K237">
        <v>154.19999999999999</v>
      </c>
      <c r="L237">
        <v>0</v>
      </c>
    </row>
    <row r="238" spans="1:12">
      <c r="A238">
        <v>79</v>
      </c>
      <c r="B238" t="s">
        <v>94</v>
      </c>
      <c r="C238">
        <v>45.5017</v>
      </c>
      <c r="D238">
        <v>-73.567300000000003</v>
      </c>
      <c r="E238">
        <v>2023</v>
      </c>
      <c r="F238">
        <v>3</v>
      </c>
      <c r="G238" t="s">
        <v>79</v>
      </c>
      <c r="H238">
        <v>64.900000000000006</v>
      </c>
      <c r="I238">
        <v>147.94999999999999</v>
      </c>
      <c r="J238">
        <v>1765.87</v>
      </c>
      <c r="K238">
        <v>179.85</v>
      </c>
      <c r="L238">
        <v>0</v>
      </c>
    </row>
    <row r="239" spans="1:12">
      <c r="A239">
        <v>79</v>
      </c>
      <c r="B239" t="s">
        <v>94</v>
      </c>
      <c r="C239">
        <v>45.5017</v>
      </c>
      <c r="D239">
        <v>-73.567300000000003</v>
      </c>
      <c r="E239">
        <v>2023</v>
      </c>
      <c r="F239">
        <v>4</v>
      </c>
      <c r="G239" t="s">
        <v>80</v>
      </c>
      <c r="H239">
        <v>65</v>
      </c>
      <c r="I239">
        <v>147.94999999999999</v>
      </c>
      <c r="J239">
        <v>1765.87</v>
      </c>
      <c r="K239">
        <v>184.85</v>
      </c>
      <c r="L239">
        <v>0</v>
      </c>
    </row>
    <row r="240" spans="1:12">
      <c r="A240">
        <v>79</v>
      </c>
      <c r="B240" t="s">
        <v>94</v>
      </c>
      <c r="C240">
        <v>45.5017</v>
      </c>
      <c r="D240">
        <v>-73.567300000000003</v>
      </c>
      <c r="E240">
        <v>2023</v>
      </c>
      <c r="F240">
        <v>5</v>
      </c>
      <c r="G240" t="s">
        <v>81</v>
      </c>
      <c r="H240">
        <v>65</v>
      </c>
      <c r="I240">
        <v>147.94999999999999</v>
      </c>
      <c r="J240">
        <v>1765.87</v>
      </c>
      <c r="K240">
        <v>194.85</v>
      </c>
      <c r="L240">
        <v>0</v>
      </c>
    </row>
    <row r="241" spans="1:12">
      <c r="A241">
        <v>79</v>
      </c>
      <c r="B241" t="s">
        <v>94</v>
      </c>
      <c r="C241">
        <v>45.5017</v>
      </c>
      <c r="D241">
        <v>-73.567300000000003</v>
      </c>
      <c r="E241">
        <v>2023</v>
      </c>
      <c r="F241">
        <v>6</v>
      </c>
      <c r="G241" t="s">
        <v>82</v>
      </c>
      <c r="H241">
        <v>64.5</v>
      </c>
      <c r="I241">
        <v>147.94999999999999</v>
      </c>
      <c r="J241">
        <v>1765.87</v>
      </c>
      <c r="K241">
        <v>209.82499999999999</v>
      </c>
      <c r="L241">
        <v>0</v>
      </c>
    </row>
    <row r="242" spans="1:12">
      <c r="A242">
        <v>79</v>
      </c>
      <c r="B242" t="s">
        <v>94</v>
      </c>
      <c r="C242">
        <v>45.5017</v>
      </c>
      <c r="D242">
        <v>-73.567300000000003</v>
      </c>
      <c r="E242">
        <v>2023</v>
      </c>
      <c r="F242">
        <v>7</v>
      </c>
      <c r="G242" t="s">
        <v>83</v>
      </c>
      <c r="H242">
        <v>64.3</v>
      </c>
      <c r="I242">
        <v>147.94999999999999</v>
      </c>
      <c r="J242">
        <v>1765.87</v>
      </c>
      <c r="K242">
        <v>199.375</v>
      </c>
      <c r="L242">
        <v>0</v>
      </c>
    </row>
    <row r="243" spans="1:12">
      <c r="A243">
        <v>79</v>
      </c>
      <c r="B243" t="s">
        <v>94</v>
      </c>
      <c r="C243">
        <v>45.5017</v>
      </c>
      <c r="D243">
        <v>-73.567300000000003</v>
      </c>
      <c r="E243">
        <v>2023</v>
      </c>
      <c r="F243">
        <v>8</v>
      </c>
      <c r="G243" t="s">
        <v>84</v>
      </c>
      <c r="H243">
        <v>64.099999999999994</v>
      </c>
      <c r="I243">
        <v>147.94999999999999</v>
      </c>
      <c r="J243">
        <v>1765.87</v>
      </c>
      <c r="K243">
        <v>181.57499999999999</v>
      </c>
      <c r="L243">
        <v>0</v>
      </c>
    </row>
    <row r="244" spans="1:12">
      <c r="A244">
        <v>79</v>
      </c>
      <c r="B244" t="s">
        <v>94</v>
      </c>
      <c r="C244">
        <v>45.5017</v>
      </c>
      <c r="D244">
        <v>-73.567300000000003</v>
      </c>
      <c r="E244">
        <v>2023</v>
      </c>
      <c r="F244">
        <v>9</v>
      </c>
      <c r="G244" t="s">
        <v>85</v>
      </c>
      <c r="H244">
        <v>64.099999999999994</v>
      </c>
      <c r="I244">
        <v>147.94999999999999</v>
      </c>
      <c r="J244">
        <v>1765.87</v>
      </c>
      <c r="K244">
        <v>183.47499999999999</v>
      </c>
      <c r="L244">
        <v>0</v>
      </c>
    </row>
    <row r="245" spans="1:12">
      <c r="A245">
        <v>79</v>
      </c>
      <c r="B245" t="s">
        <v>94</v>
      </c>
      <c r="C245">
        <v>45.5017</v>
      </c>
      <c r="D245">
        <v>-73.567300000000003</v>
      </c>
      <c r="E245">
        <v>2023</v>
      </c>
      <c r="F245">
        <v>10</v>
      </c>
      <c r="G245" t="s">
        <v>86</v>
      </c>
      <c r="H245">
        <v>64.3</v>
      </c>
      <c r="I245">
        <v>147.94999999999999</v>
      </c>
      <c r="J245">
        <v>1765.87</v>
      </c>
      <c r="K245">
        <v>200.95</v>
      </c>
      <c r="L245">
        <v>0</v>
      </c>
    </row>
    <row r="246" spans="1:12">
      <c r="A246">
        <v>79</v>
      </c>
      <c r="B246" t="s">
        <v>94</v>
      </c>
      <c r="C246">
        <v>45.5017</v>
      </c>
      <c r="D246">
        <v>-73.567300000000003</v>
      </c>
      <c r="E246">
        <v>2023</v>
      </c>
      <c r="F246">
        <v>11</v>
      </c>
      <c r="G246" t="s">
        <v>87</v>
      </c>
      <c r="H246">
        <v>64.400000000000006</v>
      </c>
      <c r="I246">
        <v>147.94999999999999</v>
      </c>
      <c r="J246">
        <v>1765.87</v>
      </c>
      <c r="K246">
        <v>195.45</v>
      </c>
      <c r="L246">
        <v>0</v>
      </c>
    </row>
    <row r="247" spans="1:12">
      <c r="A247">
        <v>79</v>
      </c>
      <c r="B247" t="s">
        <v>94</v>
      </c>
      <c r="C247">
        <v>45.5017</v>
      </c>
      <c r="D247">
        <v>-73.567300000000003</v>
      </c>
      <c r="E247">
        <v>2023</v>
      </c>
      <c r="F247">
        <v>12</v>
      </c>
      <c r="G247" t="s">
        <v>88</v>
      </c>
      <c r="H247">
        <v>64.400000000000006</v>
      </c>
      <c r="I247">
        <v>147.94999999999999</v>
      </c>
      <c r="K247">
        <v>176.72499999999999</v>
      </c>
      <c r="L247">
        <v>0</v>
      </c>
    </row>
    <row r="248" spans="1:12">
      <c r="A248">
        <v>79</v>
      </c>
      <c r="B248" t="s">
        <v>94</v>
      </c>
      <c r="C248">
        <v>45.5017</v>
      </c>
      <c r="D248">
        <v>-73.567300000000003</v>
      </c>
      <c r="E248">
        <v>2024</v>
      </c>
      <c r="F248">
        <v>1</v>
      </c>
      <c r="G248" t="s">
        <v>77</v>
      </c>
      <c r="H248">
        <v>64.5</v>
      </c>
      <c r="J248">
        <v>1799.49</v>
      </c>
      <c r="K248">
        <v>170.75</v>
      </c>
      <c r="L248">
        <v>0</v>
      </c>
    </row>
    <row r="249" spans="1:12">
      <c r="A249">
        <v>79</v>
      </c>
      <c r="B249" t="s">
        <v>94</v>
      </c>
      <c r="C249">
        <v>45.5017</v>
      </c>
      <c r="D249">
        <v>-73.567300000000003</v>
      </c>
      <c r="E249">
        <v>2024</v>
      </c>
      <c r="F249">
        <v>2</v>
      </c>
      <c r="G249" t="s">
        <v>78</v>
      </c>
      <c r="H249">
        <v>64.400000000000006</v>
      </c>
      <c r="J249">
        <v>1806.94</v>
      </c>
      <c r="K249">
        <v>166.67500000000001</v>
      </c>
      <c r="L249">
        <v>0</v>
      </c>
    </row>
    <row r="250" spans="1:12">
      <c r="A250">
        <v>79</v>
      </c>
      <c r="B250" t="s">
        <v>94</v>
      </c>
      <c r="C250">
        <v>45.5017</v>
      </c>
      <c r="D250">
        <v>-73.567300000000003</v>
      </c>
      <c r="E250">
        <v>2024</v>
      </c>
      <c r="F250">
        <v>3</v>
      </c>
      <c r="G250" t="s">
        <v>79</v>
      </c>
      <c r="H250">
        <v>64.099999999999994</v>
      </c>
      <c r="J250">
        <v>1814.38</v>
      </c>
      <c r="K250">
        <v>161.65</v>
      </c>
      <c r="L250">
        <v>0</v>
      </c>
    </row>
    <row r="251" spans="1:12">
      <c r="A251">
        <v>79</v>
      </c>
      <c r="B251" t="s">
        <v>94</v>
      </c>
      <c r="C251">
        <v>45.5017</v>
      </c>
      <c r="D251">
        <v>-73.567300000000003</v>
      </c>
      <c r="E251">
        <v>2024</v>
      </c>
      <c r="F251">
        <v>4</v>
      </c>
      <c r="G251" t="s">
        <v>80</v>
      </c>
      <c r="H251">
        <v>63.6</v>
      </c>
      <c r="J251">
        <v>1821.83</v>
      </c>
      <c r="K251">
        <v>166.25</v>
      </c>
      <c r="L251">
        <v>0</v>
      </c>
    </row>
    <row r="252" spans="1:12">
      <c r="A252">
        <v>79</v>
      </c>
      <c r="B252" t="s">
        <v>94</v>
      </c>
      <c r="C252">
        <v>45.5017</v>
      </c>
      <c r="D252">
        <v>-73.567300000000003</v>
      </c>
      <c r="E252">
        <v>2024</v>
      </c>
      <c r="F252">
        <v>5</v>
      </c>
      <c r="G252" t="s">
        <v>81</v>
      </c>
      <c r="H252">
        <v>63.6</v>
      </c>
      <c r="J252">
        <v>1829.28</v>
      </c>
      <c r="K252">
        <v>163.17500000000001</v>
      </c>
      <c r="L252">
        <v>0</v>
      </c>
    </row>
    <row r="253" spans="1:12">
      <c r="A253">
        <v>79</v>
      </c>
      <c r="B253" t="s">
        <v>94</v>
      </c>
      <c r="C253">
        <v>45.5017</v>
      </c>
      <c r="D253">
        <v>-73.567300000000003</v>
      </c>
      <c r="E253">
        <v>2024</v>
      </c>
      <c r="F253">
        <v>6</v>
      </c>
      <c r="G253" t="s">
        <v>82</v>
      </c>
      <c r="H253">
        <v>63.7</v>
      </c>
      <c r="J253">
        <v>1836.73</v>
      </c>
      <c r="K253">
        <v>159.625</v>
      </c>
      <c r="L253">
        <v>0</v>
      </c>
    </row>
    <row r="254" spans="1:12">
      <c r="A254">
        <v>79</v>
      </c>
      <c r="B254" t="s">
        <v>94</v>
      </c>
      <c r="C254">
        <v>45.5017</v>
      </c>
      <c r="D254">
        <v>-73.567300000000003</v>
      </c>
      <c r="E254">
        <v>2024</v>
      </c>
      <c r="F254">
        <v>7</v>
      </c>
      <c r="G254" t="s">
        <v>83</v>
      </c>
      <c r="H254">
        <v>63.8</v>
      </c>
      <c r="J254">
        <v>1844.18</v>
      </c>
      <c r="K254">
        <v>158.4</v>
      </c>
      <c r="L254">
        <v>0</v>
      </c>
    </row>
    <row r="255" spans="1:12">
      <c r="A255">
        <v>79</v>
      </c>
      <c r="B255" t="s">
        <v>94</v>
      </c>
      <c r="C255">
        <v>45.5017</v>
      </c>
      <c r="D255">
        <v>-73.567300000000003</v>
      </c>
      <c r="E255">
        <v>2024</v>
      </c>
      <c r="F255">
        <v>8</v>
      </c>
      <c r="G255" t="s">
        <v>84</v>
      </c>
      <c r="H255">
        <v>63.9</v>
      </c>
      <c r="J255">
        <v>1851.62</v>
      </c>
      <c r="K255">
        <v>169.52500000000001</v>
      </c>
      <c r="L255">
        <v>0</v>
      </c>
    </row>
    <row r="256" spans="1:12">
      <c r="A256">
        <v>79</v>
      </c>
      <c r="B256" t="s">
        <v>94</v>
      </c>
      <c r="C256">
        <v>45.5017</v>
      </c>
      <c r="D256">
        <v>-73.567300000000003</v>
      </c>
      <c r="E256">
        <v>2024</v>
      </c>
      <c r="F256">
        <v>9</v>
      </c>
      <c r="G256" t="s">
        <v>85</v>
      </c>
      <c r="H256">
        <v>63.8</v>
      </c>
      <c r="J256">
        <v>1859.07</v>
      </c>
      <c r="K256">
        <v>173.875</v>
      </c>
      <c r="L256">
        <v>0</v>
      </c>
    </row>
    <row r="257" spans="1:12">
      <c r="A257">
        <v>79</v>
      </c>
      <c r="B257" t="s">
        <v>94</v>
      </c>
      <c r="C257">
        <v>45.5017</v>
      </c>
      <c r="D257">
        <v>-73.567300000000003</v>
      </c>
      <c r="E257">
        <v>2024</v>
      </c>
      <c r="F257">
        <v>10</v>
      </c>
      <c r="G257" t="s">
        <v>86</v>
      </c>
      <c r="H257">
        <v>63.9</v>
      </c>
      <c r="J257">
        <v>1866.52</v>
      </c>
      <c r="K257">
        <v>171.52500000000001</v>
      </c>
      <c r="L257">
        <v>0</v>
      </c>
    </row>
    <row r="258" spans="1:12">
      <c r="A258">
        <v>79</v>
      </c>
      <c r="B258" t="s">
        <v>94</v>
      </c>
      <c r="C258">
        <v>45.5017</v>
      </c>
      <c r="D258">
        <v>-73.567300000000003</v>
      </c>
      <c r="E258">
        <v>2024</v>
      </c>
      <c r="F258">
        <v>11</v>
      </c>
      <c r="G258" t="s">
        <v>87</v>
      </c>
      <c r="H258">
        <v>63.8</v>
      </c>
      <c r="J258">
        <v>1873.97</v>
      </c>
      <c r="K258">
        <v>168.15</v>
      </c>
      <c r="L258">
        <v>0</v>
      </c>
    </row>
    <row r="259" spans="1:12">
      <c r="A259">
        <v>79</v>
      </c>
      <c r="B259" t="s">
        <v>94</v>
      </c>
      <c r="C259">
        <v>45.5017</v>
      </c>
      <c r="D259">
        <v>-73.567300000000003</v>
      </c>
      <c r="E259">
        <v>2024</v>
      </c>
      <c r="F259">
        <v>12</v>
      </c>
      <c r="G259" t="s">
        <v>88</v>
      </c>
      <c r="H259">
        <v>63.7</v>
      </c>
      <c r="J259">
        <v>1765.87</v>
      </c>
      <c r="K259">
        <v>157.02500000000001</v>
      </c>
      <c r="L259">
        <v>0</v>
      </c>
    </row>
    <row r="260" spans="1:12">
      <c r="A260">
        <v>80</v>
      </c>
      <c r="B260" t="s">
        <v>95</v>
      </c>
      <c r="C260">
        <v>45.421500000000002</v>
      </c>
      <c r="D260">
        <v>-75.699100000000001</v>
      </c>
      <c r="E260">
        <v>2022</v>
      </c>
      <c r="F260">
        <v>1</v>
      </c>
      <c r="G260" t="s">
        <v>77</v>
      </c>
      <c r="H260">
        <v>66</v>
      </c>
      <c r="J260">
        <v>1456.75</v>
      </c>
      <c r="L260">
        <v>494</v>
      </c>
    </row>
    <row r="261" spans="1:12">
      <c r="A261">
        <v>80</v>
      </c>
      <c r="B261" t="s">
        <v>95</v>
      </c>
      <c r="C261">
        <v>45.421500000000002</v>
      </c>
      <c r="D261">
        <v>-75.699100000000001</v>
      </c>
      <c r="E261">
        <v>2022</v>
      </c>
      <c r="F261">
        <v>2</v>
      </c>
      <c r="G261" t="s">
        <v>78</v>
      </c>
      <c r="H261">
        <v>65.7</v>
      </c>
      <c r="J261">
        <v>1456.75</v>
      </c>
      <c r="L261">
        <v>494</v>
      </c>
    </row>
    <row r="262" spans="1:12">
      <c r="A262">
        <v>80</v>
      </c>
      <c r="B262" t="s">
        <v>95</v>
      </c>
      <c r="C262">
        <v>45.421500000000002</v>
      </c>
      <c r="D262">
        <v>-75.699100000000001</v>
      </c>
      <c r="E262">
        <v>2022</v>
      </c>
      <c r="F262">
        <v>3</v>
      </c>
      <c r="G262" t="s">
        <v>79</v>
      </c>
      <c r="H262">
        <v>65.5</v>
      </c>
      <c r="J262">
        <v>1456.75</v>
      </c>
      <c r="L262">
        <v>634</v>
      </c>
    </row>
    <row r="263" spans="1:12">
      <c r="A263">
        <v>80</v>
      </c>
      <c r="B263" t="s">
        <v>95</v>
      </c>
      <c r="C263">
        <v>45.421500000000002</v>
      </c>
      <c r="D263">
        <v>-75.699100000000001</v>
      </c>
      <c r="E263">
        <v>2022</v>
      </c>
      <c r="F263">
        <v>4</v>
      </c>
      <c r="G263" t="s">
        <v>80</v>
      </c>
      <c r="H263">
        <v>65.099999999999994</v>
      </c>
      <c r="J263">
        <v>1456.75</v>
      </c>
      <c r="L263">
        <v>605</v>
      </c>
    </row>
    <row r="264" spans="1:12">
      <c r="A264">
        <v>80</v>
      </c>
      <c r="B264" t="s">
        <v>95</v>
      </c>
      <c r="C264">
        <v>45.421500000000002</v>
      </c>
      <c r="D264">
        <v>-75.699100000000001</v>
      </c>
      <c r="E264">
        <v>2022</v>
      </c>
      <c r="F264">
        <v>5</v>
      </c>
      <c r="G264" t="s">
        <v>81</v>
      </c>
      <c r="H264">
        <v>65</v>
      </c>
      <c r="J264">
        <v>1456.75</v>
      </c>
      <c r="L264">
        <v>437</v>
      </c>
    </row>
    <row r="265" spans="1:12">
      <c r="A265">
        <v>80</v>
      </c>
      <c r="B265" t="s">
        <v>95</v>
      </c>
      <c r="C265">
        <v>45.421500000000002</v>
      </c>
      <c r="D265">
        <v>-75.699100000000001</v>
      </c>
      <c r="E265">
        <v>2022</v>
      </c>
      <c r="F265">
        <v>6</v>
      </c>
      <c r="G265" t="s">
        <v>82</v>
      </c>
      <c r="H265">
        <v>65.099999999999994</v>
      </c>
      <c r="J265">
        <v>1456.75</v>
      </c>
      <c r="L265">
        <v>591</v>
      </c>
    </row>
    <row r="266" spans="1:12">
      <c r="A266">
        <v>80</v>
      </c>
      <c r="B266" t="s">
        <v>95</v>
      </c>
      <c r="C266">
        <v>45.421500000000002</v>
      </c>
      <c r="D266">
        <v>-75.699100000000001</v>
      </c>
      <c r="E266">
        <v>2022</v>
      </c>
      <c r="F266">
        <v>7</v>
      </c>
      <c r="G266" t="s">
        <v>83</v>
      </c>
      <c r="H266">
        <v>65.599999999999994</v>
      </c>
      <c r="J266">
        <v>1456.75</v>
      </c>
      <c r="L266">
        <v>500</v>
      </c>
    </row>
    <row r="267" spans="1:12">
      <c r="A267">
        <v>80</v>
      </c>
      <c r="B267" t="s">
        <v>95</v>
      </c>
      <c r="C267">
        <v>45.421500000000002</v>
      </c>
      <c r="D267">
        <v>-75.699100000000001</v>
      </c>
      <c r="E267">
        <v>2022</v>
      </c>
      <c r="F267">
        <v>8</v>
      </c>
      <c r="G267" t="s">
        <v>84</v>
      </c>
      <c r="H267">
        <v>66</v>
      </c>
      <c r="J267">
        <v>1456.75</v>
      </c>
      <c r="L267">
        <v>424</v>
      </c>
    </row>
    <row r="268" spans="1:12">
      <c r="A268">
        <v>80</v>
      </c>
      <c r="B268" t="s">
        <v>95</v>
      </c>
      <c r="C268">
        <v>45.421500000000002</v>
      </c>
      <c r="D268">
        <v>-75.699100000000001</v>
      </c>
      <c r="E268">
        <v>2022</v>
      </c>
      <c r="F268">
        <v>9</v>
      </c>
      <c r="G268" t="s">
        <v>85</v>
      </c>
      <c r="H268">
        <v>66</v>
      </c>
      <c r="J268">
        <v>1456.75</v>
      </c>
      <c r="L268">
        <v>454</v>
      </c>
    </row>
    <row r="269" spans="1:12">
      <c r="A269">
        <v>80</v>
      </c>
      <c r="B269" t="s">
        <v>95</v>
      </c>
      <c r="C269">
        <v>45.421500000000002</v>
      </c>
      <c r="D269">
        <v>-75.699100000000001</v>
      </c>
      <c r="E269">
        <v>2022</v>
      </c>
      <c r="F269">
        <v>10</v>
      </c>
      <c r="G269" t="s">
        <v>86</v>
      </c>
      <c r="H269">
        <v>66.099999999999994</v>
      </c>
      <c r="J269">
        <v>1456.75</v>
      </c>
      <c r="L269">
        <v>461</v>
      </c>
    </row>
    <row r="270" spans="1:12">
      <c r="A270">
        <v>80</v>
      </c>
      <c r="B270" t="s">
        <v>95</v>
      </c>
      <c r="C270">
        <v>45.421500000000002</v>
      </c>
      <c r="D270">
        <v>-75.699100000000001</v>
      </c>
      <c r="E270">
        <v>2022</v>
      </c>
      <c r="F270">
        <v>11</v>
      </c>
      <c r="G270" t="s">
        <v>87</v>
      </c>
      <c r="H270">
        <v>65.8</v>
      </c>
      <c r="J270">
        <v>1456.75</v>
      </c>
      <c r="L270">
        <v>553</v>
      </c>
    </row>
    <row r="271" spans="1:12">
      <c r="A271">
        <v>80</v>
      </c>
      <c r="B271" t="s">
        <v>95</v>
      </c>
      <c r="C271">
        <v>45.421500000000002</v>
      </c>
      <c r="D271">
        <v>-75.699100000000001</v>
      </c>
      <c r="E271">
        <v>2022</v>
      </c>
      <c r="F271">
        <v>12</v>
      </c>
      <c r="G271" t="s">
        <v>88</v>
      </c>
      <c r="H271">
        <v>65.8</v>
      </c>
      <c r="J271">
        <v>1456.75</v>
      </c>
      <c r="L271">
        <v>419</v>
      </c>
    </row>
    <row r="272" spans="1:12">
      <c r="A272">
        <v>80</v>
      </c>
      <c r="B272" t="s">
        <v>95</v>
      </c>
      <c r="C272">
        <v>45.421500000000002</v>
      </c>
      <c r="D272">
        <v>-75.699100000000001</v>
      </c>
      <c r="E272">
        <v>2023</v>
      </c>
      <c r="F272">
        <v>1</v>
      </c>
      <c r="G272" t="s">
        <v>77</v>
      </c>
      <c r="H272">
        <v>65.900000000000006</v>
      </c>
      <c r="J272">
        <v>1434.63</v>
      </c>
      <c r="L272">
        <v>49.4</v>
      </c>
    </row>
    <row r="273" spans="1:12">
      <c r="A273">
        <v>80</v>
      </c>
      <c r="B273" t="s">
        <v>95</v>
      </c>
      <c r="C273">
        <v>45.421500000000002</v>
      </c>
      <c r="D273">
        <v>-75.699100000000001</v>
      </c>
      <c r="E273">
        <v>2023</v>
      </c>
      <c r="F273">
        <v>2</v>
      </c>
      <c r="G273" t="s">
        <v>78</v>
      </c>
      <c r="H273">
        <v>65.5</v>
      </c>
      <c r="J273">
        <v>1434.63</v>
      </c>
      <c r="L273">
        <v>58.4</v>
      </c>
    </row>
    <row r="274" spans="1:12">
      <c r="A274">
        <v>80</v>
      </c>
      <c r="B274" t="s">
        <v>95</v>
      </c>
      <c r="C274">
        <v>45.421500000000002</v>
      </c>
      <c r="D274">
        <v>-75.699100000000001</v>
      </c>
      <c r="E274">
        <v>2023</v>
      </c>
      <c r="F274">
        <v>3</v>
      </c>
      <c r="G274" t="s">
        <v>79</v>
      </c>
      <c r="H274">
        <v>65</v>
      </c>
      <c r="J274">
        <v>1434.63</v>
      </c>
      <c r="L274">
        <v>69.900000000000006</v>
      </c>
    </row>
    <row r="275" spans="1:12">
      <c r="A275">
        <v>80</v>
      </c>
      <c r="B275" t="s">
        <v>95</v>
      </c>
      <c r="C275">
        <v>45.421500000000002</v>
      </c>
      <c r="D275">
        <v>-75.699100000000001</v>
      </c>
      <c r="E275">
        <v>2023</v>
      </c>
      <c r="F275">
        <v>4</v>
      </c>
      <c r="G275" t="s">
        <v>80</v>
      </c>
      <c r="H275">
        <v>65</v>
      </c>
      <c r="J275">
        <v>1434.63</v>
      </c>
      <c r="L275">
        <v>85.5</v>
      </c>
    </row>
    <row r="276" spans="1:12">
      <c r="A276">
        <v>80</v>
      </c>
      <c r="B276" t="s">
        <v>95</v>
      </c>
      <c r="C276">
        <v>45.421500000000002</v>
      </c>
      <c r="D276">
        <v>-75.699100000000001</v>
      </c>
      <c r="E276">
        <v>2023</v>
      </c>
      <c r="F276">
        <v>5</v>
      </c>
      <c r="G276" t="s">
        <v>81</v>
      </c>
      <c r="H276">
        <v>65.599999999999994</v>
      </c>
      <c r="J276">
        <v>1434.63</v>
      </c>
      <c r="L276">
        <v>47</v>
      </c>
    </row>
    <row r="277" spans="1:12">
      <c r="A277">
        <v>80</v>
      </c>
      <c r="B277" t="s">
        <v>95</v>
      </c>
      <c r="C277">
        <v>45.421500000000002</v>
      </c>
      <c r="D277">
        <v>-75.699100000000001</v>
      </c>
      <c r="E277">
        <v>2023</v>
      </c>
      <c r="F277">
        <v>6</v>
      </c>
      <c r="G277" t="s">
        <v>82</v>
      </c>
      <c r="H277">
        <v>66</v>
      </c>
      <c r="J277">
        <v>1434.63</v>
      </c>
      <c r="L277">
        <v>59.5</v>
      </c>
    </row>
    <row r="278" spans="1:12">
      <c r="A278">
        <v>80</v>
      </c>
      <c r="B278" t="s">
        <v>95</v>
      </c>
      <c r="C278">
        <v>45.421500000000002</v>
      </c>
      <c r="D278">
        <v>-75.699100000000001</v>
      </c>
      <c r="E278">
        <v>2023</v>
      </c>
      <c r="F278">
        <v>7</v>
      </c>
      <c r="G278" t="s">
        <v>83</v>
      </c>
      <c r="H278">
        <v>66.400000000000006</v>
      </c>
      <c r="J278">
        <v>1434.63</v>
      </c>
      <c r="L278">
        <v>166.4</v>
      </c>
    </row>
    <row r="279" spans="1:12">
      <c r="A279">
        <v>80</v>
      </c>
      <c r="B279" t="s">
        <v>95</v>
      </c>
      <c r="C279">
        <v>45.421500000000002</v>
      </c>
      <c r="D279">
        <v>-75.699100000000001</v>
      </c>
      <c r="E279">
        <v>2023</v>
      </c>
      <c r="F279">
        <v>8</v>
      </c>
      <c r="G279" t="s">
        <v>84</v>
      </c>
      <c r="H279">
        <v>66.400000000000006</v>
      </c>
      <c r="J279">
        <v>1434.63</v>
      </c>
      <c r="L279">
        <v>98.1</v>
      </c>
    </row>
    <row r="280" spans="1:12">
      <c r="A280">
        <v>80</v>
      </c>
      <c r="B280" t="s">
        <v>95</v>
      </c>
      <c r="C280">
        <v>45.421500000000002</v>
      </c>
      <c r="D280">
        <v>-75.699100000000001</v>
      </c>
      <c r="E280">
        <v>2023</v>
      </c>
      <c r="F280">
        <v>9</v>
      </c>
      <c r="G280" t="s">
        <v>85</v>
      </c>
      <c r="H280">
        <v>66.3</v>
      </c>
      <c r="J280">
        <v>1434.63</v>
      </c>
      <c r="L280">
        <v>21.2</v>
      </c>
    </row>
    <row r="281" spans="1:12">
      <c r="A281">
        <v>80</v>
      </c>
      <c r="B281" t="s">
        <v>95</v>
      </c>
      <c r="C281">
        <v>45.421500000000002</v>
      </c>
      <c r="D281">
        <v>-75.699100000000001</v>
      </c>
      <c r="E281">
        <v>2023</v>
      </c>
      <c r="F281">
        <v>10</v>
      </c>
      <c r="G281" t="s">
        <v>86</v>
      </c>
      <c r="H281">
        <v>65.5</v>
      </c>
      <c r="J281">
        <v>1434.63</v>
      </c>
      <c r="L281">
        <v>49.3</v>
      </c>
    </row>
    <row r="282" spans="1:12">
      <c r="A282">
        <v>80</v>
      </c>
      <c r="B282" t="s">
        <v>95</v>
      </c>
      <c r="C282">
        <v>45.421500000000002</v>
      </c>
      <c r="D282">
        <v>-75.699100000000001</v>
      </c>
      <c r="E282">
        <v>2023</v>
      </c>
      <c r="F282">
        <v>11</v>
      </c>
      <c r="G282" t="s">
        <v>87</v>
      </c>
      <c r="H282">
        <v>64.900000000000006</v>
      </c>
      <c r="J282">
        <v>1434.63</v>
      </c>
      <c r="L282">
        <v>41.1</v>
      </c>
    </row>
    <row r="283" spans="1:12">
      <c r="A283">
        <v>80</v>
      </c>
      <c r="B283" t="s">
        <v>95</v>
      </c>
      <c r="C283">
        <v>45.421500000000002</v>
      </c>
      <c r="D283">
        <v>-75.699100000000001</v>
      </c>
      <c r="E283">
        <v>2023</v>
      </c>
      <c r="F283">
        <v>12</v>
      </c>
      <c r="G283" t="s">
        <v>88</v>
      </c>
      <c r="H283">
        <v>64.5</v>
      </c>
      <c r="J283">
        <v>1434.63</v>
      </c>
      <c r="L283">
        <v>67.3</v>
      </c>
    </row>
    <row r="284" spans="1:12">
      <c r="A284">
        <v>80</v>
      </c>
      <c r="B284" t="s">
        <v>95</v>
      </c>
      <c r="C284">
        <v>45.421500000000002</v>
      </c>
      <c r="D284">
        <v>-75.699100000000001</v>
      </c>
      <c r="E284">
        <v>2024</v>
      </c>
      <c r="F284">
        <v>1</v>
      </c>
      <c r="G284" t="s">
        <v>77</v>
      </c>
      <c r="H284">
        <v>64.400000000000006</v>
      </c>
      <c r="J284">
        <v>1428.38</v>
      </c>
      <c r="L284">
        <v>82.4</v>
      </c>
    </row>
    <row r="285" spans="1:12">
      <c r="A285">
        <v>80</v>
      </c>
      <c r="B285" t="s">
        <v>95</v>
      </c>
      <c r="C285">
        <v>45.421500000000002</v>
      </c>
      <c r="D285">
        <v>-75.699100000000001</v>
      </c>
      <c r="E285">
        <v>2024</v>
      </c>
      <c r="F285">
        <v>2</v>
      </c>
      <c r="G285" t="s">
        <v>78</v>
      </c>
      <c r="H285">
        <v>65</v>
      </c>
      <c r="J285">
        <v>1426.99</v>
      </c>
      <c r="L285">
        <v>14.9</v>
      </c>
    </row>
    <row r="286" spans="1:12">
      <c r="A286">
        <v>80</v>
      </c>
      <c r="B286" t="s">
        <v>95</v>
      </c>
      <c r="C286">
        <v>45.421500000000002</v>
      </c>
      <c r="D286">
        <v>-75.699100000000001</v>
      </c>
      <c r="E286">
        <v>2024</v>
      </c>
      <c r="F286">
        <v>3</v>
      </c>
      <c r="G286" t="s">
        <v>79</v>
      </c>
      <c r="H286">
        <v>65.7</v>
      </c>
      <c r="J286">
        <v>1425.61</v>
      </c>
      <c r="L286">
        <v>66</v>
      </c>
    </row>
    <row r="287" spans="1:12">
      <c r="A287">
        <v>80</v>
      </c>
      <c r="B287" t="s">
        <v>95</v>
      </c>
      <c r="C287">
        <v>45.421500000000002</v>
      </c>
      <c r="D287">
        <v>-75.699100000000001</v>
      </c>
      <c r="E287">
        <v>2024</v>
      </c>
      <c r="F287">
        <v>4</v>
      </c>
      <c r="G287" t="s">
        <v>80</v>
      </c>
      <c r="H287">
        <v>66.5</v>
      </c>
      <c r="J287">
        <v>1424.22</v>
      </c>
      <c r="L287">
        <v>108</v>
      </c>
    </row>
    <row r="288" spans="1:12">
      <c r="A288">
        <v>80</v>
      </c>
      <c r="B288" t="s">
        <v>95</v>
      </c>
      <c r="C288">
        <v>45.421500000000002</v>
      </c>
      <c r="D288">
        <v>-75.699100000000001</v>
      </c>
      <c r="E288">
        <v>2024</v>
      </c>
      <c r="F288">
        <v>5</v>
      </c>
      <c r="G288" t="s">
        <v>81</v>
      </c>
      <c r="H288">
        <v>66.7</v>
      </c>
      <c r="J288">
        <v>1422.84</v>
      </c>
      <c r="L288">
        <v>102.1</v>
      </c>
    </row>
    <row r="289" spans="1:12">
      <c r="A289">
        <v>80</v>
      </c>
      <c r="B289" t="s">
        <v>95</v>
      </c>
      <c r="C289">
        <v>45.421500000000002</v>
      </c>
      <c r="D289">
        <v>-75.699100000000001</v>
      </c>
      <c r="E289">
        <v>2024</v>
      </c>
      <c r="F289">
        <v>6</v>
      </c>
      <c r="G289" t="s">
        <v>82</v>
      </c>
      <c r="H289">
        <v>66.7</v>
      </c>
      <c r="J289">
        <v>1421.45</v>
      </c>
      <c r="L289">
        <v>81.5</v>
      </c>
    </row>
    <row r="290" spans="1:12">
      <c r="A290">
        <v>80</v>
      </c>
      <c r="B290" t="s">
        <v>95</v>
      </c>
      <c r="C290">
        <v>45.421500000000002</v>
      </c>
      <c r="D290">
        <v>-75.699100000000001</v>
      </c>
      <c r="E290">
        <v>2024</v>
      </c>
      <c r="F290">
        <v>7</v>
      </c>
      <c r="G290" t="s">
        <v>83</v>
      </c>
      <c r="H290">
        <v>66.099999999999994</v>
      </c>
      <c r="J290">
        <v>1420.07</v>
      </c>
      <c r="L290">
        <v>149</v>
      </c>
    </row>
    <row r="291" spans="1:12">
      <c r="A291">
        <v>80</v>
      </c>
      <c r="B291" t="s">
        <v>95</v>
      </c>
      <c r="C291">
        <v>45.421500000000002</v>
      </c>
      <c r="D291">
        <v>-75.699100000000001</v>
      </c>
      <c r="E291">
        <v>2024</v>
      </c>
      <c r="F291">
        <v>8</v>
      </c>
      <c r="G291" t="s">
        <v>84</v>
      </c>
      <c r="H291">
        <v>65.2</v>
      </c>
      <c r="J291">
        <v>1418.68</v>
      </c>
      <c r="L291">
        <v>103.5</v>
      </c>
    </row>
    <row r="292" spans="1:12">
      <c r="A292">
        <v>80</v>
      </c>
      <c r="B292" t="s">
        <v>95</v>
      </c>
      <c r="C292">
        <v>45.421500000000002</v>
      </c>
      <c r="D292">
        <v>-75.699100000000001</v>
      </c>
      <c r="E292">
        <v>2024</v>
      </c>
      <c r="F292">
        <v>9</v>
      </c>
      <c r="G292" t="s">
        <v>85</v>
      </c>
      <c r="H292">
        <v>64.099999999999994</v>
      </c>
      <c r="J292">
        <v>1417.3</v>
      </c>
      <c r="L292">
        <v>23.4</v>
      </c>
    </row>
    <row r="293" spans="1:12">
      <c r="A293">
        <v>80</v>
      </c>
      <c r="B293" t="s">
        <v>95</v>
      </c>
      <c r="C293">
        <v>45.421500000000002</v>
      </c>
      <c r="D293">
        <v>-75.699100000000001</v>
      </c>
      <c r="E293">
        <v>2024</v>
      </c>
      <c r="F293">
        <v>10</v>
      </c>
      <c r="G293" t="s">
        <v>86</v>
      </c>
      <c r="H293">
        <v>64</v>
      </c>
      <c r="J293">
        <v>1415.91</v>
      </c>
      <c r="L293">
        <v>32</v>
      </c>
    </row>
    <row r="294" spans="1:12">
      <c r="A294">
        <v>80</v>
      </c>
      <c r="B294" t="s">
        <v>95</v>
      </c>
      <c r="C294">
        <v>45.421500000000002</v>
      </c>
      <c r="D294">
        <v>-75.699100000000001</v>
      </c>
      <c r="E294">
        <v>2024</v>
      </c>
      <c r="F294">
        <v>11</v>
      </c>
      <c r="G294" t="s">
        <v>87</v>
      </c>
      <c r="H294">
        <v>64.599999999999994</v>
      </c>
      <c r="J294">
        <v>1414.53</v>
      </c>
      <c r="L294">
        <v>43.6</v>
      </c>
    </row>
    <row r="295" spans="1:12">
      <c r="A295">
        <v>80</v>
      </c>
      <c r="B295" t="s">
        <v>95</v>
      </c>
      <c r="C295">
        <v>45.421500000000002</v>
      </c>
      <c r="D295">
        <v>-75.699100000000001</v>
      </c>
      <c r="E295">
        <v>2024</v>
      </c>
      <c r="F295">
        <v>12</v>
      </c>
      <c r="G295" t="s">
        <v>88</v>
      </c>
      <c r="H295">
        <v>65.8</v>
      </c>
      <c r="J295">
        <v>1413.14</v>
      </c>
      <c r="L295">
        <v>67.400000000000006</v>
      </c>
    </row>
    <row r="296" spans="1:12">
      <c r="A296">
        <v>81</v>
      </c>
      <c r="B296" t="s">
        <v>96</v>
      </c>
      <c r="C296">
        <v>49.282699999999998</v>
      </c>
      <c r="D296">
        <v>-123.1207</v>
      </c>
      <c r="E296">
        <v>2022</v>
      </c>
      <c r="F296">
        <v>1</v>
      </c>
      <c r="G296" t="s">
        <v>77</v>
      </c>
      <c r="H296">
        <v>61.8</v>
      </c>
      <c r="J296">
        <v>713.44</v>
      </c>
      <c r="L296">
        <v>194</v>
      </c>
    </row>
    <row r="297" spans="1:12">
      <c r="A297">
        <v>81</v>
      </c>
      <c r="B297" t="s">
        <v>96</v>
      </c>
      <c r="C297">
        <v>49.282699999999998</v>
      </c>
      <c r="D297">
        <v>-123.1207</v>
      </c>
      <c r="E297">
        <v>2022</v>
      </c>
      <c r="F297">
        <v>2</v>
      </c>
      <c r="G297" t="s">
        <v>78</v>
      </c>
      <c r="H297">
        <v>61.7</v>
      </c>
      <c r="J297">
        <v>713.44</v>
      </c>
      <c r="L297">
        <v>154</v>
      </c>
    </row>
    <row r="298" spans="1:12">
      <c r="A298">
        <v>81</v>
      </c>
      <c r="B298" t="s">
        <v>96</v>
      </c>
      <c r="C298">
        <v>49.282699999999998</v>
      </c>
      <c r="D298">
        <v>-123.1207</v>
      </c>
      <c r="E298">
        <v>2022</v>
      </c>
      <c r="F298">
        <v>3</v>
      </c>
      <c r="G298" t="s">
        <v>79</v>
      </c>
      <c r="H298">
        <v>61.3</v>
      </c>
      <c r="J298">
        <v>713.44</v>
      </c>
      <c r="L298">
        <v>13</v>
      </c>
    </row>
    <row r="299" spans="1:12">
      <c r="A299">
        <v>81</v>
      </c>
      <c r="B299" t="s">
        <v>96</v>
      </c>
      <c r="C299">
        <v>49.282699999999998</v>
      </c>
      <c r="D299">
        <v>-123.1207</v>
      </c>
      <c r="E299">
        <v>2022</v>
      </c>
      <c r="F299">
        <v>4</v>
      </c>
      <c r="G299" t="s">
        <v>80</v>
      </c>
      <c r="H299">
        <v>61.7</v>
      </c>
      <c r="J299">
        <v>713.44</v>
      </c>
      <c r="L299">
        <v>8</v>
      </c>
    </row>
    <row r="300" spans="1:12">
      <c r="A300">
        <v>81</v>
      </c>
      <c r="B300" t="s">
        <v>96</v>
      </c>
      <c r="C300">
        <v>49.282699999999998</v>
      </c>
      <c r="D300">
        <v>-123.1207</v>
      </c>
      <c r="E300">
        <v>2022</v>
      </c>
      <c r="F300">
        <v>5</v>
      </c>
      <c r="G300" t="s">
        <v>81</v>
      </c>
      <c r="H300">
        <v>62.1</v>
      </c>
      <c r="J300">
        <v>713.44</v>
      </c>
      <c r="L300">
        <v>0</v>
      </c>
    </row>
    <row r="301" spans="1:12">
      <c r="A301">
        <v>81</v>
      </c>
      <c r="B301" t="s">
        <v>96</v>
      </c>
      <c r="C301">
        <v>49.282699999999998</v>
      </c>
      <c r="D301">
        <v>-123.1207</v>
      </c>
      <c r="E301">
        <v>2022</v>
      </c>
      <c r="F301">
        <v>6</v>
      </c>
      <c r="G301" t="s">
        <v>82</v>
      </c>
      <c r="H301">
        <v>62.6</v>
      </c>
      <c r="J301">
        <v>713.44</v>
      </c>
      <c r="L301">
        <v>0</v>
      </c>
    </row>
    <row r="302" spans="1:12">
      <c r="A302">
        <v>81</v>
      </c>
      <c r="B302" t="s">
        <v>96</v>
      </c>
      <c r="C302">
        <v>49.282699999999998</v>
      </c>
      <c r="D302">
        <v>-123.1207</v>
      </c>
      <c r="E302">
        <v>2022</v>
      </c>
      <c r="F302">
        <v>7</v>
      </c>
      <c r="G302" t="s">
        <v>83</v>
      </c>
      <c r="H302">
        <v>62.6</v>
      </c>
      <c r="J302">
        <v>713.44</v>
      </c>
      <c r="L302">
        <v>0</v>
      </c>
    </row>
    <row r="303" spans="1:12">
      <c r="A303">
        <v>81</v>
      </c>
      <c r="B303" t="s">
        <v>96</v>
      </c>
      <c r="C303">
        <v>49.282699999999998</v>
      </c>
      <c r="D303">
        <v>-123.1207</v>
      </c>
      <c r="E303">
        <v>2022</v>
      </c>
      <c r="F303">
        <v>8</v>
      </c>
      <c r="G303" t="s">
        <v>84</v>
      </c>
      <c r="H303">
        <v>62.8</v>
      </c>
      <c r="J303">
        <v>713.44</v>
      </c>
      <c r="L303">
        <v>0</v>
      </c>
    </row>
    <row r="304" spans="1:12">
      <c r="A304">
        <v>81</v>
      </c>
      <c r="B304" t="s">
        <v>96</v>
      </c>
      <c r="C304">
        <v>49.282699999999998</v>
      </c>
      <c r="D304">
        <v>-123.1207</v>
      </c>
      <c r="E304">
        <v>2022</v>
      </c>
      <c r="F304">
        <v>9</v>
      </c>
      <c r="G304" t="s">
        <v>85</v>
      </c>
      <c r="H304">
        <v>62.5</v>
      </c>
      <c r="J304">
        <v>713.44</v>
      </c>
      <c r="L304">
        <v>0</v>
      </c>
    </row>
    <row r="305" spans="1:12">
      <c r="A305">
        <v>81</v>
      </c>
      <c r="B305" t="s">
        <v>96</v>
      </c>
      <c r="C305">
        <v>49.282699999999998</v>
      </c>
      <c r="D305">
        <v>-123.1207</v>
      </c>
      <c r="E305">
        <v>2022</v>
      </c>
      <c r="F305">
        <v>10</v>
      </c>
      <c r="G305" t="s">
        <v>86</v>
      </c>
      <c r="H305">
        <v>62.4</v>
      </c>
      <c r="J305">
        <v>713.44</v>
      </c>
      <c r="L305">
        <v>0</v>
      </c>
    </row>
    <row r="306" spans="1:12">
      <c r="A306">
        <v>81</v>
      </c>
      <c r="B306" t="s">
        <v>96</v>
      </c>
      <c r="C306">
        <v>49.282699999999998</v>
      </c>
      <c r="D306">
        <v>-123.1207</v>
      </c>
      <c r="E306">
        <v>2022</v>
      </c>
      <c r="F306">
        <v>11</v>
      </c>
      <c r="G306" t="s">
        <v>87</v>
      </c>
      <c r="H306">
        <v>62.5</v>
      </c>
      <c r="J306">
        <v>713.44</v>
      </c>
      <c r="L306">
        <v>3</v>
      </c>
    </row>
    <row r="307" spans="1:12">
      <c r="A307">
        <v>81</v>
      </c>
      <c r="B307" t="s">
        <v>96</v>
      </c>
      <c r="C307">
        <v>49.282699999999998</v>
      </c>
      <c r="D307">
        <v>-123.1207</v>
      </c>
      <c r="E307">
        <v>2022</v>
      </c>
      <c r="F307">
        <v>12</v>
      </c>
      <c r="G307" t="s">
        <v>88</v>
      </c>
      <c r="H307">
        <v>62.1</v>
      </c>
      <c r="J307">
        <v>713.44</v>
      </c>
      <c r="L307">
        <v>16</v>
      </c>
    </row>
    <row r="308" spans="1:12">
      <c r="A308">
        <v>81</v>
      </c>
      <c r="B308" t="s">
        <v>96</v>
      </c>
      <c r="C308">
        <v>49.282699999999998</v>
      </c>
      <c r="D308">
        <v>-123.1207</v>
      </c>
      <c r="E308">
        <v>2023</v>
      </c>
      <c r="F308">
        <v>1</v>
      </c>
      <c r="G308" t="s">
        <v>77</v>
      </c>
      <c r="H308">
        <v>61.9</v>
      </c>
      <c r="J308">
        <v>758.15</v>
      </c>
      <c r="L308">
        <v>75.5</v>
      </c>
    </row>
    <row r="309" spans="1:12">
      <c r="A309">
        <v>81</v>
      </c>
      <c r="B309" t="s">
        <v>96</v>
      </c>
      <c r="C309">
        <v>49.282699999999998</v>
      </c>
      <c r="D309">
        <v>-123.1207</v>
      </c>
      <c r="E309">
        <v>2023</v>
      </c>
      <c r="F309">
        <v>2</v>
      </c>
      <c r="G309" t="s">
        <v>78</v>
      </c>
      <c r="H309">
        <v>61.4</v>
      </c>
      <c r="J309">
        <v>758.15</v>
      </c>
      <c r="L309">
        <v>85.4</v>
      </c>
    </row>
    <row r="310" spans="1:12">
      <c r="A310">
        <v>81</v>
      </c>
      <c r="B310" t="s">
        <v>96</v>
      </c>
      <c r="C310">
        <v>49.282699999999998</v>
      </c>
      <c r="D310">
        <v>-123.1207</v>
      </c>
      <c r="E310">
        <v>2023</v>
      </c>
      <c r="F310">
        <v>3</v>
      </c>
      <c r="G310" t="s">
        <v>79</v>
      </c>
      <c r="H310">
        <v>61.1</v>
      </c>
      <c r="J310">
        <v>758.15</v>
      </c>
      <c r="L310">
        <v>117.2</v>
      </c>
    </row>
    <row r="311" spans="1:12">
      <c r="A311">
        <v>81</v>
      </c>
      <c r="B311" t="s">
        <v>96</v>
      </c>
      <c r="C311">
        <v>49.282699999999998</v>
      </c>
      <c r="D311">
        <v>-123.1207</v>
      </c>
      <c r="E311">
        <v>2023</v>
      </c>
      <c r="F311">
        <v>4</v>
      </c>
      <c r="G311" t="s">
        <v>80</v>
      </c>
      <c r="H311">
        <v>60.8</v>
      </c>
      <c r="J311">
        <v>758.15</v>
      </c>
      <c r="L311">
        <v>111.8</v>
      </c>
    </row>
    <row r="312" spans="1:12">
      <c r="A312">
        <v>81</v>
      </c>
      <c r="B312" t="s">
        <v>96</v>
      </c>
      <c r="C312">
        <v>49.282699999999998</v>
      </c>
      <c r="D312">
        <v>-123.1207</v>
      </c>
      <c r="E312">
        <v>2023</v>
      </c>
      <c r="F312">
        <v>5</v>
      </c>
      <c r="G312" t="s">
        <v>81</v>
      </c>
      <c r="H312">
        <v>60.6</v>
      </c>
      <c r="J312">
        <v>758.15</v>
      </c>
      <c r="L312">
        <v>39.1</v>
      </c>
    </row>
    <row r="313" spans="1:12">
      <c r="A313">
        <v>81</v>
      </c>
      <c r="B313" t="s">
        <v>96</v>
      </c>
      <c r="C313">
        <v>49.282699999999998</v>
      </c>
      <c r="D313">
        <v>-123.1207</v>
      </c>
      <c r="E313">
        <v>2023</v>
      </c>
      <c r="F313">
        <v>6</v>
      </c>
      <c r="G313" t="s">
        <v>82</v>
      </c>
      <c r="H313">
        <v>60.8</v>
      </c>
      <c r="J313">
        <v>758.15</v>
      </c>
      <c r="L313">
        <v>115.2</v>
      </c>
    </row>
    <row r="314" spans="1:12">
      <c r="A314">
        <v>81</v>
      </c>
      <c r="B314" t="s">
        <v>96</v>
      </c>
      <c r="C314">
        <v>49.282699999999998</v>
      </c>
      <c r="D314">
        <v>-123.1207</v>
      </c>
      <c r="E314">
        <v>2023</v>
      </c>
      <c r="F314">
        <v>7</v>
      </c>
      <c r="G314" t="s">
        <v>83</v>
      </c>
      <c r="H314">
        <v>60.9</v>
      </c>
      <c r="J314">
        <v>758.15</v>
      </c>
      <c r="L314">
        <v>123.8</v>
      </c>
    </row>
    <row r="315" spans="1:12">
      <c r="A315">
        <v>81</v>
      </c>
      <c r="B315" t="s">
        <v>96</v>
      </c>
      <c r="C315">
        <v>49.282699999999998</v>
      </c>
      <c r="D315">
        <v>-123.1207</v>
      </c>
      <c r="E315">
        <v>2023</v>
      </c>
      <c r="F315">
        <v>8</v>
      </c>
      <c r="G315" t="s">
        <v>84</v>
      </c>
      <c r="H315">
        <v>60.8</v>
      </c>
      <c r="J315">
        <v>758.15</v>
      </c>
      <c r="L315">
        <v>119</v>
      </c>
    </row>
    <row r="316" spans="1:12">
      <c r="A316">
        <v>81</v>
      </c>
      <c r="B316" t="s">
        <v>96</v>
      </c>
      <c r="C316">
        <v>49.282699999999998</v>
      </c>
      <c r="D316">
        <v>-123.1207</v>
      </c>
      <c r="E316">
        <v>2023</v>
      </c>
      <c r="F316">
        <v>9</v>
      </c>
      <c r="G316" t="s">
        <v>85</v>
      </c>
      <c r="H316">
        <v>60.7</v>
      </c>
      <c r="J316">
        <v>758.15</v>
      </c>
      <c r="L316">
        <v>25.9</v>
      </c>
    </row>
    <row r="317" spans="1:12">
      <c r="A317">
        <v>81</v>
      </c>
      <c r="B317" t="s">
        <v>96</v>
      </c>
      <c r="C317">
        <v>49.282699999999998</v>
      </c>
      <c r="D317">
        <v>-123.1207</v>
      </c>
      <c r="E317">
        <v>2023</v>
      </c>
      <c r="F317">
        <v>10</v>
      </c>
      <c r="G317" t="s">
        <v>86</v>
      </c>
      <c r="H317">
        <v>60.8</v>
      </c>
      <c r="J317">
        <v>758.15</v>
      </c>
      <c r="L317">
        <v>61.7</v>
      </c>
    </row>
    <row r="318" spans="1:12">
      <c r="A318">
        <v>81</v>
      </c>
      <c r="B318" t="s">
        <v>96</v>
      </c>
      <c r="C318">
        <v>49.282699999999998</v>
      </c>
      <c r="D318">
        <v>-123.1207</v>
      </c>
      <c r="E318">
        <v>2023</v>
      </c>
      <c r="F318">
        <v>11</v>
      </c>
      <c r="G318" t="s">
        <v>87</v>
      </c>
      <c r="H318">
        <v>60.9</v>
      </c>
      <c r="J318">
        <v>758.15</v>
      </c>
      <c r="L318">
        <v>44.2</v>
      </c>
    </row>
    <row r="319" spans="1:12">
      <c r="A319">
        <v>81</v>
      </c>
      <c r="B319" t="s">
        <v>96</v>
      </c>
      <c r="C319">
        <v>49.282699999999998</v>
      </c>
      <c r="D319">
        <v>-123.1207</v>
      </c>
      <c r="E319">
        <v>2023</v>
      </c>
      <c r="F319">
        <v>12</v>
      </c>
      <c r="G319" t="s">
        <v>88</v>
      </c>
      <c r="H319">
        <v>60.7</v>
      </c>
      <c r="L319">
        <v>71.900000000000006</v>
      </c>
    </row>
    <row r="320" spans="1:12">
      <c r="A320">
        <v>81</v>
      </c>
      <c r="B320" t="s">
        <v>96</v>
      </c>
      <c r="C320">
        <v>49.282699999999998</v>
      </c>
      <c r="D320">
        <v>-123.1207</v>
      </c>
      <c r="E320">
        <v>2024</v>
      </c>
      <c r="F320">
        <v>1</v>
      </c>
      <c r="G320" t="s">
        <v>77</v>
      </c>
      <c r="H320">
        <v>60.8</v>
      </c>
      <c r="J320">
        <v>770.79</v>
      </c>
      <c r="L320">
        <v>92.5</v>
      </c>
    </row>
    <row r="321" spans="1:12">
      <c r="A321">
        <v>81</v>
      </c>
      <c r="B321" t="s">
        <v>96</v>
      </c>
      <c r="C321">
        <v>49.282699999999998</v>
      </c>
      <c r="D321">
        <v>-123.1207</v>
      </c>
      <c r="E321">
        <v>2024</v>
      </c>
      <c r="F321">
        <v>2</v>
      </c>
      <c r="G321" t="s">
        <v>78</v>
      </c>
      <c r="H321">
        <v>60.7</v>
      </c>
      <c r="J321">
        <v>773.58</v>
      </c>
      <c r="L321">
        <v>27</v>
      </c>
    </row>
    <row r="322" spans="1:12">
      <c r="A322">
        <v>81</v>
      </c>
      <c r="B322" t="s">
        <v>96</v>
      </c>
      <c r="C322">
        <v>49.282699999999998</v>
      </c>
      <c r="D322">
        <v>-123.1207</v>
      </c>
      <c r="E322">
        <v>2024</v>
      </c>
      <c r="F322">
        <v>3</v>
      </c>
      <c r="G322" t="s">
        <v>79</v>
      </c>
      <c r="H322">
        <v>61.1</v>
      </c>
      <c r="J322">
        <v>776.38</v>
      </c>
      <c r="L322">
        <v>48.4</v>
      </c>
    </row>
    <row r="323" spans="1:12">
      <c r="A323">
        <v>81</v>
      </c>
      <c r="B323" t="s">
        <v>96</v>
      </c>
      <c r="C323">
        <v>49.282699999999998</v>
      </c>
      <c r="D323">
        <v>-123.1207</v>
      </c>
      <c r="E323">
        <v>2024</v>
      </c>
      <c r="F323">
        <v>4</v>
      </c>
      <c r="G323" t="s">
        <v>80</v>
      </c>
      <c r="H323">
        <v>61.2</v>
      </c>
      <c r="J323">
        <v>779.18</v>
      </c>
      <c r="L323">
        <v>96.5</v>
      </c>
    </row>
    <row r="324" spans="1:12">
      <c r="A324">
        <v>81</v>
      </c>
      <c r="B324" t="s">
        <v>96</v>
      </c>
      <c r="C324">
        <v>49.282699999999998</v>
      </c>
      <c r="D324">
        <v>-123.1207</v>
      </c>
      <c r="E324">
        <v>2024</v>
      </c>
      <c r="F324">
        <v>5</v>
      </c>
      <c r="G324" t="s">
        <v>81</v>
      </c>
      <c r="H324">
        <v>61.4</v>
      </c>
      <c r="J324">
        <v>781.98</v>
      </c>
      <c r="L324">
        <v>90.9</v>
      </c>
    </row>
    <row r="325" spans="1:12">
      <c r="A325">
        <v>81</v>
      </c>
      <c r="B325" t="s">
        <v>96</v>
      </c>
      <c r="C325">
        <v>49.282699999999998</v>
      </c>
      <c r="D325">
        <v>-123.1207</v>
      </c>
      <c r="E325">
        <v>2024</v>
      </c>
      <c r="F325">
        <v>6</v>
      </c>
      <c r="G325" t="s">
        <v>82</v>
      </c>
      <c r="H325">
        <v>61.2</v>
      </c>
      <c r="J325">
        <v>784.78</v>
      </c>
      <c r="L325">
        <v>70.3</v>
      </c>
    </row>
    <row r="326" spans="1:12">
      <c r="A326">
        <v>81</v>
      </c>
      <c r="B326" t="s">
        <v>96</v>
      </c>
      <c r="C326">
        <v>49.282699999999998</v>
      </c>
      <c r="D326">
        <v>-123.1207</v>
      </c>
      <c r="E326">
        <v>2024</v>
      </c>
      <c r="F326">
        <v>7</v>
      </c>
      <c r="G326" t="s">
        <v>83</v>
      </c>
      <c r="H326">
        <v>60.9</v>
      </c>
      <c r="J326">
        <v>787.58</v>
      </c>
      <c r="L326">
        <v>157</v>
      </c>
    </row>
    <row r="327" spans="1:12">
      <c r="A327">
        <v>81</v>
      </c>
      <c r="B327" t="s">
        <v>96</v>
      </c>
      <c r="C327">
        <v>49.282699999999998</v>
      </c>
      <c r="D327">
        <v>-123.1207</v>
      </c>
      <c r="E327">
        <v>2024</v>
      </c>
      <c r="F327">
        <v>8</v>
      </c>
      <c r="G327" t="s">
        <v>84</v>
      </c>
      <c r="H327">
        <v>60.7</v>
      </c>
      <c r="J327">
        <v>790.38</v>
      </c>
      <c r="L327">
        <v>71.5</v>
      </c>
    </row>
    <row r="328" spans="1:12">
      <c r="A328">
        <v>81</v>
      </c>
      <c r="B328" t="s">
        <v>96</v>
      </c>
      <c r="C328">
        <v>49.282699999999998</v>
      </c>
      <c r="D328">
        <v>-123.1207</v>
      </c>
      <c r="E328">
        <v>2024</v>
      </c>
      <c r="F328">
        <v>9</v>
      </c>
      <c r="G328" t="s">
        <v>85</v>
      </c>
      <c r="H328">
        <v>60.6</v>
      </c>
      <c r="J328">
        <v>793.18</v>
      </c>
      <c r="L328">
        <v>55.3</v>
      </c>
    </row>
    <row r="329" spans="1:12">
      <c r="A329">
        <v>81</v>
      </c>
      <c r="B329" t="s">
        <v>96</v>
      </c>
      <c r="C329">
        <v>49.282699999999998</v>
      </c>
      <c r="D329">
        <v>-123.1207</v>
      </c>
      <c r="E329">
        <v>2024</v>
      </c>
      <c r="F329">
        <v>10</v>
      </c>
      <c r="G329" t="s">
        <v>86</v>
      </c>
      <c r="H329">
        <v>60.6</v>
      </c>
      <c r="J329">
        <v>795.98</v>
      </c>
      <c r="L329">
        <v>47.4</v>
      </c>
    </row>
    <row r="330" spans="1:12">
      <c r="A330">
        <v>81</v>
      </c>
      <c r="B330" t="s">
        <v>96</v>
      </c>
      <c r="C330">
        <v>49.282699999999998</v>
      </c>
      <c r="D330">
        <v>-123.1207</v>
      </c>
      <c r="E330">
        <v>2024</v>
      </c>
      <c r="F330">
        <v>11</v>
      </c>
      <c r="G330" t="s">
        <v>87</v>
      </c>
      <c r="H330">
        <v>60.3</v>
      </c>
      <c r="J330">
        <v>798.78</v>
      </c>
      <c r="L330">
        <v>46.2</v>
      </c>
    </row>
    <row r="331" spans="1:12">
      <c r="A331">
        <v>81</v>
      </c>
      <c r="B331" t="s">
        <v>96</v>
      </c>
      <c r="C331">
        <v>49.282699999999998</v>
      </c>
      <c r="D331">
        <v>-123.1207</v>
      </c>
      <c r="E331">
        <v>2024</v>
      </c>
      <c r="F331">
        <v>12</v>
      </c>
      <c r="G331" t="s">
        <v>88</v>
      </c>
      <c r="H331">
        <v>59.2</v>
      </c>
      <c r="J331">
        <v>758.15</v>
      </c>
      <c r="L331">
        <v>65.400000000000006</v>
      </c>
    </row>
    <row r="332" spans="1:12">
      <c r="A332">
        <v>82</v>
      </c>
      <c r="B332" t="s">
        <v>97</v>
      </c>
      <c r="C332">
        <v>43.651000000000003</v>
      </c>
      <c r="D332">
        <v>-79.346999999999994</v>
      </c>
      <c r="E332">
        <v>2022</v>
      </c>
      <c r="F332">
        <v>1</v>
      </c>
      <c r="G332" t="s">
        <v>77</v>
      </c>
      <c r="H332">
        <v>63.9</v>
      </c>
      <c r="I332">
        <v>140.2142857</v>
      </c>
      <c r="J332">
        <v>1156.72</v>
      </c>
      <c r="K332">
        <v>115.325</v>
      </c>
      <c r="L332">
        <v>43.4</v>
      </c>
    </row>
    <row r="333" spans="1:12">
      <c r="A333">
        <v>82</v>
      </c>
      <c r="B333" t="s">
        <v>97</v>
      </c>
      <c r="C333">
        <v>43.651000000000003</v>
      </c>
      <c r="D333">
        <v>-79.346999999999994</v>
      </c>
      <c r="E333">
        <v>2022</v>
      </c>
      <c r="F333">
        <v>2</v>
      </c>
      <c r="G333" t="s">
        <v>78</v>
      </c>
      <c r="H333">
        <v>63.8</v>
      </c>
      <c r="I333">
        <v>140.2142857</v>
      </c>
      <c r="J333">
        <v>1156.72</v>
      </c>
      <c r="K333">
        <v>121.45</v>
      </c>
      <c r="L333">
        <v>104.4</v>
      </c>
    </row>
    <row r="334" spans="1:12">
      <c r="A334">
        <v>82</v>
      </c>
      <c r="B334" t="s">
        <v>97</v>
      </c>
      <c r="C334">
        <v>43.651000000000003</v>
      </c>
      <c r="D334">
        <v>-79.346999999999994</v>
      </c>
      <c r="E334">
        <v>2022</v>
      </c>
      <c r="F334">
        <v>3</v>
      </c>
      <c r="G334" t="s">
        <v>79</v>
      </c>
      <c r="H334">
        <v>63.7</v>
      </c>
      <c r="I334">
        <v>140.2142857</v>
      </c>
      <c r="J334">
        <v>1156.72</v>
      </c>
      <c r="K334">
        <v>126.675</v>
      </c>
      <c r="L334">
        <v>94.8</v>
      </c>
    </row>
    <row r="335" spans="1:12">
      <c r="A335">
        <v>82</v>
      </c>
      <c r="B335" t="s">
        <v>97</v>
      </c>
      <c r="C335">
        <v>43.651000000000003</v>
      </c>
      <c r="D335">
        <v>-79.346999999999994</v>
      </c>
      <c r="E335">
        <v>2022</v>
      </c>
      <c r="F335">
        <v>4</v>
      </c>
      <c r="G335" t="s">
        <v>80</v>
      </c>
      <c r="H335">
        <v>63.9</v>
      </c>
      <c r="I335">
        <v>140.2142857</v>
      </c>
      <c r="J335">
        <v>1156.72</v>
      </c>
      <c r="K335">
        <v>124.875</v>
      </c>
      <c r="L335">
        <v>139.80000000000001</v>
      </c>
    </row>
    <row r="336" spans="1:12">
      <c r="A336">
        <v>82</v>
      </c>
      <c r="B336" t="s">
        <v>97</v>
      </c>
      <c r="C336">
        <v>43.651000000000003</v>
      </c>
      <c r="D336">
        <v>-79.346999999999994</v>
      </c>
      <c r="E336">
        <v>2022</v>
      </c>
      <c r="F336">
        <v>5</v>
      </c>
      <c r="G336" t="s">
        <v>81</v>
      </c>
      <c r="H336">
        <v>63.9</v>
      </c>
      <c r="I336">
        <v>140.2142857</v>
      </c>
      <c r="J336">
        <v>1156.72</v>
      </c>
      <c r="K336">
        <v>128.75</v>
      </c>
      <c r="L336">
        <v>58</v>
      </c>
    </row>
    <row r="337" spans="1:12">
      <c r="A337">
        <v>82</v>
      </c>
      <c r="B337" t="s">
        <v>97</v>
      </c>
      <c r="C337">
        <v>43.651000000000003</v>
      </c>
      <c r="D337">
        <v>-79.346999999999994</v>
      </c>
      <c r="E337">
        <v>2022</v>
      </c>
      <c r="F337">
        <v>6</v>
      </c>
      <c r="G337" t="s">
        <v>82</v>
      </c>
      <c r="H337">
        <v>63.8</v>
      </c>
      <c r="I337">
        <v>140.2142857</v>
      </c>
      <c r="J337">
        <v>1156.72</v>
      </c>
      <c r="K337">
        <v>132.27500000000001</v>
      </c>
      <c r="L337">
        <v>173</v>
      </c>
    </row>
    <row r="338" spans="1:12">
      <c r="A338">
        <v>82</v>
      </c>
      <c r="B338" t="s">
        <v>97</v>
      </c>
      <c r="C338">
        <v>43.651000000000003</v>
      </c>
      <c r="D338">
        <v>-79.346999999999994</v>
      </c>
      <c r="E338">
        <v>2022</v>
      </c>
      <c r="F338">
        <v>7</v>
      </c>
      <c r="G338" t="s">
        <v>83</v>
      </c>
      <c r="H338">
        <v>63.9</v>
      </c>
      <c r="I338">
        <v>140.2142857</v>
      </c>
      <c r="J338">
        <v>1156.72</v>
      </c>
      <c r="K338">
        <v>135.25</v>
      </c>
      <c r="L338">
        <v>73.599999999999994</v>
      </c>
    </row>
    <row r="339" spans="1:12">
      <c r="A339">
        <v>82</v>
      </c>
      <c r="B339" t="s">
        <v>97</v>
      </c>
      <c r="C339">
        <v>43.651000000000003</v>
      </c>
      <c r="D339">
        <v>-79.346999999999994</v>
      </c>
      <c r="E339">
        <v>2022</v>
      </c>
      <c r="F339">
        <v>8</v>
      </c>
      <c r="G339" t="s">
        <v>84</v>
      </c>
      <c r="H339">
        <v>64</v>
      </c>
      <c r="I339">
        <v>140.2142857</v>
      </c>
      <c r="J339">
        <v>1156.72</v>
      </c>
      <c r="K339">
        <v>136.17500000000001</v>
      </c>
      <c r="L339">
        <v>99.1</v>
      </c>
    </row>
    <row r="340" spans="1:12">
      <c r="A340">
        <v>82</v>
      </c>
      <c r="B340" t="s">
        <v>97</v>
      </c>
      <c r="C340">
        <v>43.651000000000003</v>
      </c>
      <c r="D340">
        <v>-79.346999999999994</v>
      </c>
      <c r="E340">
        <v>2022</v>
      </c>
      <c r="F340">
        <v>9</v>
      </c>
      <c r="G340" t="s">
        <v>85</v>
      </c>
      <c r="H340">
        <v>64.099999999999994</v>
      </c>
      <c r="I340">
        <v>140.2142857</v>
      </c>
      <c r="J340">
        <v>1156.72</v>
      </c>
      <c r="K340">
        <v>139.82499999999999</v>
      </c>
      <c r="L340">
        <v>113.8</v>
      </c>
    </row>
    <row r="341" spans="1:12">
      <c r="A341">
        <v>82</v>
      </c>
      <c r="B341" t="s">
        <v>97</v>
      </c>
      <c r="C341">
        <v>43.651000000000003</v>
      </c>
      <c r="D341">
        <v>-79.346999999999994</v>
      </c>
      <c r="E341">
        <v>2022</v>
      </c>
      <c r="F341">
        <v>10</v>
      </c>
      <c r="G341" t="s">
        <v>86</v>
      </c>
      <c r="H341">
        <v>64.400000000000006</v>
      </c>
      <c r="I341">
        <v>140.2142857</v>
      </c>
      <c r="J341">
        <v>1156.72</v>
      </c>
      <c r="K341">
        <v>149.6</v>
      </c>
      <c r="L341">
        <v>39.799999999999997</v>
      </c>
    </row>
    <row r="342" spans="1:12">
      <c r="A342">
        <v>82</v>
      </c>
      <c r="B342" t="s">
        <v>97</v>
      </c>
      <c r="C342">
        <v>43.651000000000003</v>
      </c>
      <c r="D342">
        <v>-79.346999999999994</v>
      </c>
      <c r="E342">
        <v>2022</v>
      </c>
      <c r="F342">
        <v>11</v>
      </c>
      <c r="G342" t="s">
        <v>87</v>
      </c>
      <c r="H342">
        <v>64.5</v>
      </c>
      <c r="I342">
        <v>140.2142857</v>
      </c>
      <c r="J342">
        <v>1156.72</v>
      </c>
      <c r="K342">
        <v>153.19999999999999</v>
      </c>
      <c r="L342">
        <v>117.3</v>
      </c>
    </row>
    <row r="343" spans="1:12">
      <c r="A343">
        <v>82</v>
      </c>
      <c r="B343" t="s">
        <v>97</v>
      </c>
      <c r="C343">
        <v>43.651000000000003</v>
      </c>
      <c r="D343">
        <v>-79.346999999999994</v>
      </c>
      <c r="E343">
        <v>2022</v>
      </c>
      <c r="F343">
        <v>12</v>
      </c>
      <c r="G343" t="s">
        <v>88</v>
      </c>
      <c r="H343">
        <v>64.900000000000006</v>
      </c>
      <c r="I343">
        <v>140.2142857</v>
      </c>
      <c r="J343">
        <v>1156.72</v>
      </c>
      <c r="K343">
        <v>150.5</v>
      </c>
      <c r="L343">
        <v>126</v>
      </c>
    </row>
    <row r="344" spans="1:12">
      <c r="A344">
        <v>82</v>
      </c>
      <c r="B344" t="s">
        <v>97</v>
      </c>
      <c r="C344">
        <v>43.651000000000003</v>
      </c>
      <c r="D344">
        <v>-79.346999999999994</v>
      </c>
      <c r="E344">
        <v>2023</v>
      </c>
      <c r="F344">
        <v>1</v>
      </c>
      <c r="G344" t="s">
        <v>77</v>
      </c>
      <c r="H344">
        <v>65.400000000000006</v>
      </c>
      <c r="I344">
        <v>144.125</v>
      </c>
      <c r="J344">
        <v>1217.92</v>
      </c>
      <c r="K344">
        <v>176.45</v>
      </c>
      <c r="L344">
        <v>94.8</v>
      </c>
    </row>
    <row r="345" spans="1:12">
      <c r="A345">
        <v>82</v>
      </c>
      <c r="B345" t="s">
        <v>97</v>
      </c>
      <c r="C345">
        <v>43.651000000000003</v>
      </c>
      <c r="D345">
        <v>-79.346999999999994</v>
      </c>
      <c r="E345">
        <v>2023</v>
      </c>
      <c r="F345">
        <v>2</v>
      </c>
      <c r="G345" t="s">
        <v>78</v>
      </c>
      <c r="H345">
        <v>65.599999999999994</v>
      </c>
      <c r="I345">
        <v>144.125</v>
      </c>
      <c r="J345">
        <v>1217.92</v>
      </c>
      <c r="K345">
        <v>181.65</v>
      </c>
      <c r="L345">
        <v>42.2</v>
      </c>
    </row>
    <row r="346" spans="1:12">
      <c r="A346">
        <v>82</v>
      </c>
      <c r="B346" t="s">
        <v>97</v>
      </c>
      <c r="C346">
        <v>43.651000000000003</v>
      </c>
      <c r="D346">
        <v>-79.346999999999994</v>
      </c>
      <c r="E346">
        <v>2023</v>
      </c>
      <c r="F346">
        <v>3</v>
      </c>
      <c r="G346" t="s">
        <v>79</v>
      </c>
      <c r="H346">
        <v>65.599999999999994</v>
      </c>
      <c r="I346">
        <v>144.125</v>
      </c>
      <c r="J346">
        <v>1217.92</v>
      </c>
      <c r="K346">
        <v>193.47499999999999</v>
      </c>
      <c r="L346">
        <v>27</v>
      </c>
    </row>
    <row r="347" spans="1:12">
      <c r="A347">
        <v>82</v>
      </c>
      <c r="B347" t="s">
        <v>97</v>
      </c>
      <c r="C347">
        <v>43.651000000000003</v>
      </c>
      <c r="D347">
        <v>-79.346999999999994</v>
      </c>
      <c r="E347">
        <v>2023</v>
      </c>
      <c r="F347">
        <v>4</v>
      </c>
      <c r="G347" t="s">
        <v>80</v>
      </c>
      <c r="H347">
        <v>65.5</v>
      </c>
      <c r="I347">
        <v>144.125</v>
      </c>
      <c r="J347">
        <v>1217.92</v>
      </c>
      <c r="K347">
        <v>195.35</v>
      </c>
      <c r="L347">
        <v>0</v>
      </c>
    </row>
    <row r="348" spans="1:12">
      <c r="A348">
        <v>82</v>
      </c>
      <c r="B348" t="s">
        <v>97</v>
      </c>
      <c r="C348">
        <v>43.651000000000003</v>
      </c>
      <c r="D348">
        <v>-79.346999999999994</v>
      </c>
      <c r="E348">
        <v>2023</v>
      </c>
      <c r="F348">
        <v>5</v>
      </c>
      <c r="G348" t="s">
        <v>81</v>
      </c>
      <c r="H348">
        <v>65.7</v>
      </c>
      <c r="I348">
        <v>144.125</v>
      </c>
      <c r="J348">
        <v>1217.92</v>
      </c>
      <c r="K348">
        <v>227.125</v>
      </c>
      <c r="L348">
        <v>0</v>
      </c>
    </row>
    <row r="349" spans="1:12">
      <c r="A349">
        <v>82</v>
      </c>
      <c r="B349" t="s">
        <v>97</v>
      </c>
      <c r="C349">
        <v>43.651000000000003</v>
      </c>
      <c r="D349">
        <v>-79.346999999999994</v>
      </c>
      <c r="E349">
        <v>2023</v>
      </c>
      <c r="F349">
        <v>6</v>
      </c>
      <c r="G349" t="s">
        <v>82</v>
      </c>
      <c r="H349">
        <v>65.8</v>
      </c>
      <c r="I349">
        <v>144.125</v>
      </c>
      <c r="J349">
        <v>1217.92</v>
      </c>
      <c r="K349">
        <v>226.17500000000001</v>
      </c>
      <c r="L349">
        <v>0</v>
      </c>
    </row>
    <row r="350" spans="1:12">
      <c r="A350">
        <v>82</v>
      </c>
      <c r="B350" t="s">
        <v>97</v>
      </c>
      <c r="C350">
        <v>43.651000000000003</v>
      </c>
      <c r="D350">
        <v>-79.346999999999994</v>
      </c>
      <c r="E350">
        <v>2023</v>
      </c>
      <c r="F350">
        <v>7</v>
      </c>
      <c r="G350" t="s">
        <v>83</v>
      </c>
      <c r="H350">
        <v>65.5</v>
      </c>
      <c r="I350">
        <v>144.125</v>
      </c>
      <c r="J350">
        <v>1217.92</v>
      </c>
      <c r="K350">
        <v>208.82499999999999</v>
      </c>
      <c r="L350">
        <v>0</v>
      </c>
    </row>
    <row r="351" spans="1:12">
      <c r="A351">
        <v>82</v>
      </c>
      <c r="B351" t="s">
        <v>97</v>
      </c>
      <c r="C351">
        <v>43.651000000000003</v>
      </c>
      <c r="D351">
        <v>-79.346999999999994</v>
      </c>
      <c r="E351">
        <v>2023</v>
      </c>
      <c r="F351">
        <v>8</v>
      </c>
      <c r="G351" t="s">
        <v>84</v>
      </c>
      <c r="H351">
        <v>65.3</v>
      </c>
      <c r="I351">
        <v>144.125</v>
      </c>
      <c r="J351">
        <v>1217.92</v>
      </c>
      <c r="K351">
        <v>196.82499999999999</v>
      </c>
      <c r="L351">
        <v>0</v>
      </c>
    </row>
    <row r="352" spans="1:12">
      <c r="A352">
        <v>82</v>
      </c>
      <c r="B352" t="s">
        <v>97</v>
      </c>
      <c r="C352">
        <v>43.651000000000003</v>
      </c>
      <c r="D352">
        <v>-79.346999999999994</v>
      </c>
      <c r="E352">
        <v>2023</v>
      </c>
      <c r="F352">
        <v>9</v>
      </c>
      <c r="G352" t="s">
        <v>85</v>
      </c>
      <c r="H352">
        <v>65.2</v>
      </c>
      <c r="I352">
        <v>144.125</v>
      </c>
      <c r="J352">
        <v>1217.92</v>
      </c>
      <c r="K352">
        <v>182.75</v>
      </c>
      <c r="L352">
        <v>0</v>
      </c>
    </row>
    <row r="353" spans="1:12">
      <c r="A353">
        <v>82</v>
      </c>
      <c r="B353" t="s">
        <v>97</v>
      </c>
      <c r="C353">
        <v>43.651000000000003</v>
      </c>
      <c r="D353">
        <v>-79.346999999999994</v>
      </c>
      <c r="E353">
        <v>2023</v>
      </c>
      <c r="F353">
        <v>10</v>
      </c>
      <c r="G353" t="s">
        <v>86</v>
      </c>
      <c r="H353">
        <v>64.8</v>
      </c>
      <c r="I353">
        <v>144.125</v>
      </c>
      <c r="J353">
        <v>1217.92</v>
      </c>
      <c r="K353">
        <v>200.15</v>
      </c>
      <c r="L353">
        <v>7.4</v>
      </c>
    </row>
    <row r="354" spans="1:12">
      <c r="A354">
        <v>82</v>
      </c>
      <c r="B354" t="s">
        <v>97</v>
      </c>
      <c r="C354">
        <v>43.651000000000003</v>
      </c>
      <c r="D354">
        <v>-79.346999999999994</v>
      </c>
      <c r="E354">
        <v>2023</v>
      </c>
      <c r="F354">
        <v>11</v>
      </c>
      <c r="G354" t="s">
        <v>87</v>
      </c>
      <c r="H354">
        <v>64.5</v>
      </c>
      <c r="I354">
        <v>144.125</v>
      </c>
      <c r="J354">
        <v>1217.92</v>
      </c>
      <c r="K354">
        <v>212.97499999999999</v>
      </c>
      <c r="L354">
        <v>7.8</v>
      </c>
    </row>
    <row r="355" spans="1:12">
      <c r="A355">
        <v>82</v>
      </c>
      <c r="B355" t="s">
        <v>97</v>
      </c>
      <c r="C355">
        <v>43.651000000000003</v>
      </c>
      <c r="D355">
        <v>-79.346999999999994</v>
      </c>
      <c r="E355">
        <v>2023</v>
      </c>
      <c r="F355">
        <v>12</v>
      </c>
      <c r="G355" t="s">
        <v>88</v>
      </c>
      <c r="H355">
        <v>63.9</v>
      </c>
      <c r="I355">
        <v>144.125</v>
      </c>
      <c r="K355">
        <v>192.15</v>
      </c>
      <c r="L355">
        <v>41.4</v>
      </c>
    </row>
    <row r="356" spans="1:12">
      <c r="A356">
        <v>82</v>
      </c>
      <c r="B356" t="s">
        <v>97</v>
      </c>
      <c r="C356">
        <v>43.651000000000003</v>
      </c>
      <c r="D356">
        <v>-79.346999999999994</v>
      </c>
      <c r="E356">
        <v>2024</v>
      </c>
      <c r="F356">
        <v>1</v>
      </c>
      <c r="G356" t="s">
        <v>77</v>
      </c>
      <c r="H356">
        <v>63.6</v>
      </c>
      <c r="J356">
        <v>1235.22</v>
      </c>
      <c r="K356">
        <v>190.57499999999999</v>
      </c>
      <c r="L356">
        <v>90.4</v>
      </c>
    </row>
    <row r="357" spans="1:12">
      <c r="A357">
        <v>82</v>
      </c>
      <c r="B357" t="s">
        <v>97</v>
      </c>
      <c r="C357">
        <v>43.651000000000003</v>
      </c>
      <c r="D357">
        <v>-79.346999999999994</v>
      </c>
      <c r="E357">
        <v>2024</v>
      </c>
      <c r="F357">
        <v>2</v>
      </c>
      <c r="G357" t="s">
        <v>78</v>
      </c>
      <c r="H357">
        <v>63.2</v>
      </c>
      <c r="J357">
        <v>1239.05</v>
      </c>
      <c r="K357">
        <v>191.92500000000001</v>
      </c>
      <c r="L357">
        <v>32.799999999999997</v>
      </c>
    </row>
    <row r="358" spans="1:12">
      <c r="A358">
        <v>82</v>
      </c>
      <c r="B358" t="s">
        <v>97</v>
      </c>
      <c r="C358">
        <v>43.651000000000003</v>
      </c>
      <c r="D358">
        <v>-79.346999999999994</v>
      </c>
      <c r="E358">
        <v>2024</v>
      </c>
      <c r="F358">
        <v>3</v>
      </c>
      <c r="G358" t="s">
        <v>79</v>
      </c>
      <c r="H358">
        <v>62.8</v>
      </c>
      <c r="J358">
        <v>1242.8800000000001</v>
      </c>
      <c r="K358">
        <v>188.25</v>
      </c>
      <c r="L358">
        <v>59.8</v>
      </c>
    </row>
    <row r="359" spans="1:12">
      <c r="A359">
        <v>82</v>
      </c>
      <c r="B359" t="s">
        <v>97</v>
      </c>
      <c r="C359">
        <v>43.651000000000003</v>
      </c>
      <c r="D359">
        <v>-79.346999999999994</v>
      </c>
      <c r="E359">
        <v>2024</v>
      </c>
      <c r="F359">
        <v>4</v>
      </c>
      <c r="G359" t="s">
        <v>80</v>
      </c>
      <c r="H359">
        <v>62.6</v>
      </c>
      <c r="J359">
        <v>1246.71</v>
      </c>
      <c r="K359">
        <v>174.8</v>
      </c>
      <c r="L359">
        <v>141.5</v>
      </c>
    </row>
    <row r="360" spans="1:12">
      <c r="A360">
        <v>82</v>
      </c>
      <c r="B360" t="s">
        <v>97</v>
      </c>
      <c r="C360">
        <v>43.651000000000003</v>
      </c>
      <c r="D360">
        <v>-79.346999999999994</v>
      </c>
      <c r="E360">
        <v>2024</v>
      </c>
      <c r="F360">
        <v>5</v>
      </c>
      <c r="G360" t="s">
        <v>81</v>
      </c>
      <c r="H360">
        <v>62.3</v>
      </c>
      <c r="J360">
        <v>1250.54</v>
      </c>
      <c r="K360">
        <v>166.07499999999999</v>
      </c>
      <c r="L360">
        <v>72</v>
      </c>
    </row>
    <row r="361" spans="1:12">
      <c r="A361">
        <v>82</v>
      </c>
      <c r="B361" t="s">
        <v>97</v>
      </c>
      <c r="C361">
        <v>43.651000000000003</v>
      </c>
      <c r="D361">
        <v>-79.346999999999994</v>
      </c>
      <c r="E361">
        <v>2024</v>
      </c>
      <c r="F361">
        <v>6</v>
      </c>
      <c r="G361" t="s">
        <v>82</v>
      </c>
      <c r="H361">
        <v>62.1</v>
      </c>
      <c r="J361">
        <v>1254.3699999999999</v>
      </c>
      <c r="K361">
        <v>166.05</v>
      </c>
      <c r="L361">
        <v>122</v>
      </c>
    </row>
    <row r="362" spans="1:12">
      <c r="A362">
        <v>82</v>
      </c>
      <c r="B362" t="s">
        <v>97</v>
      </c>
      <c r="C362">
        <v>43.651000000000003</v>
      </c>
      <c r="D362">
        <v>-79.346999999999994</v>
      </c>
      <c r="E362">
        <v>2024</v>
      </c>
      <c r="F362">
        <v>7</v>
      </c>
      <c r="G362" t="s">
        <v>83</v>
      </c>
      <c r="H362">
        <v>62</v>
      </c>
      <c r="J362">
        <v>1258.21</v>
      </c>
      <c r="K362">
        <v>174.17500000000001</v>
      </c>
      <c r="L362">
        <v>124</v>
      </c>
    </row>
    <row r="363" spans="1:12">
      <c r="A363">
        <v>82</v>
      </c>
      <c r="B363" t="s">
        <v>97</v>
      </c>
      <c r="C363">
        <v>43.651000000000003</v>
      </c>
      <c r="D363">
        <v>-79.346999999999994</v>
      </c>
      <c r="E363">
        <v>2024</v>
      </c>
      <c r="F363">
        <v>8</v>
      </c>
      <c r="G363" t="s">
        <v>84</v>
      </c>
      <c r="H363">
        <v>62.1</v>
      </c>
      <c r="J363">
        <v>1262.04</v>
      </c>
      <c r="K363">
        <v>188.875</v>
      </c>
      <c r="L363">
        <v>238.7</v>
      </c>
    </row>
    <row r="364" spans="1:12">
      <c r="A364">
        <v>82</v>
      </c>
      <c r="B364" t="s">
        <v>97</v>
      </c>
      <c r="C364">
        <v>43.651000000000003</v>
      </c>
      <c r="D364">
        <v>-79.346999999999994</v>
      </c>
      <c r="E364">
        <v>2024</v>
      </c>
      <c r="F364">
        <v>9</v>
      </c>
      <c r="G364" t="s">
        <v>85</v>
      </c>
      <c r="H364">
        <v>62.3</v>
      </c>
      <c r="J364">
        <v>1265.8699999999999</v>
      </c>
      <c r="K364">
        <v>194.25</v>
      </c>
      <c r="L364">
        <v>53.4</v>
      </c>
    </row>
    <row r="365" spans="1:12">
      <c r="A365">
        <v>82</v>
      </c>
      <c r="B365" t="s">
        <v>97</v>
      </c>
      <c r="C365">
        <v>43.651000000000003</v>
      </c>
      <c r="D365">
        <v>-79.346999999999994</v>
      </c>
      <c r="E365">
        <v>2024</v>
      </c>
      <c r="F365">
        <v>10</v>
      </c>
      <c r="G365" t="s">
        <v>86</v>
      </c>
      <c r="H365">
        <v>62.5</v>
      </c>
      <c r="J365">
        <v>1269.7</v>
      </c>
      <c r="K365">
        <v>186.7</v>
      </c>
      <c r="L365">
        <v>25</v>
      </c>
    </row>
    <row r="366" spans="1:12">
      <c r="A366">
        <v>82</v>
      </c>
      <c r="B366" t="s">
        <v>97</v>
      </c>
      <c r="C366">
        <v>43.651000000000003</v>
      </c>
      <c r="D366">
        <v>-79.346999999999994</v>
      </c>
      <c r="E366">
        <v>2024</v>
      </c>
      <c r="F366">
        <v>11</v>
      </c>
      <c r="G366" t="s">
        <v>87</v>
      </c>
      <c r="H366">
        <v>62.6</v>
      </c>
      <c r="J366">
        <v>1273.53</v>
      </c>
      <c r="K366">
        <v>184.57499999999999</v>
      </c>
      <c r="L366">
        <v>49.6</v>
      </c>
    </row>
    <row r="367" spans="1:12">
      <c r="A367">
        <v>82</v>
      </c>
      <c r="B367" t="s">
        <v>97</v>
      </c>
      <c r="C367">
        <v>43.651000000000003</v>
      </c>
      <c r="D367">
        <v>-79.346999999999994</v>
      </c>
      <c r="E367">
        <v>2024</v>
      </c>
      <c r="F367">
        <v>12</v>
      </c>
      <c r="G367" t="s">
        <v>88</v>
      </c>
      <c r="H367">
        <v>62.7</v>
      </c>
      <c r="J367">
        <v>1217.92</v>
      </c>
      <c r="K367">
        <v>179.47499999999999</v>
      </c>
      <c r="L367">
        <v>94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608B-B8C9-C440-934A-BA7A4E456968}">
  <dimension ref="A3:F54"/>
  <sheetViews>
    <sheetView workbookViewId="0">
      <selection activeCell="A3" sqref="A3"/>
    </sheetView>
  </sheetViews>
  <sheetFormatPr defaultColWidth="11" defaultRowHeight="15.75"/>
  <cols>
    <col min="1" max="1" width="28" customWidth="1"/>
    <col min="2" max="3" width="22.5" bestFit="1" customWidth="1"/>
    <col min="4" max="4" width="34" bestFit="1" customWidth="1"/>
    <col min="5" max="5" width="21.875" bestFit="1" customWidth="1"/>
    <col min="6" max="6" width="21.625" bestFit="1" customWidth="1"/>
  </cols>
  <sheetData>
    <row r="3" spans="1:6">
      <c r="A3" s="15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</row>
    <row r="4" spans="1:6">
      <c r="A4" s="16">
        <v>73</v>
      </c>
      <c r="B4">
        <v>2397.2000000000003</v>
      </c>
      <c r="C4">
        <v>3681.8285719000005</v>
      </c>
      <c r="D4">
        <v>37993.160000000003</v>
      </c>
      <c r="E4">
        <v>5551.1583332</v>
      </c>
      <c r="F4">
        <v>1309.2000000000003</v>
      </c>
    </row>
    <row r="5" spans="1:6">
      <c r="A5" s="17" t="s">
        <v>76</v>
      </c>
      <c r="B5">
        <v>2397.2000000000003</v>
      </c>
      <c r="C5">
        <v>3681.8285719000005</v>
      </c>
      <c r="D5">
        <v>37993.160000000003</v>
      </c>
      <c r="E5">
        <v>5551.1583332</v>
      </c>
      <c r="F5">
        <v>1309.2000000000003</v>
      </c>
    </row>
    <row r="6" spans="1:6">
      <c r="A6" s="18">
        <v>2022</v>
      </c>
      <c r="B6">
        <v>808.5</v>
      </c>
      <c r="C6">
        <v>1817.0285718999999</v>
      </c>
      <c r="D6">
        <v>12151.08</v>
      </c>
      <c r="E6">
        <v>1683.1500001000002</v>
      </c>
      <c r="F6">
        <v>413.40000000000009</v>
      </c>
    </row>
    <row r="7" spans="1:6">
      <c r="A7" s="18">
        <v>2023</v>
      </c>
      <c r="B7">
        <v>798.99999999999989</v>
      </c>
      <c r="C7">
        <v>1864.8000000000004</v>
      </c>
      <c r="D7">
        <v>12737.280000000004</v>
      </c>
      <c r="E7">
        <v>2072.9416666000002</v>
      </c>
      <c r="F7">
        <v>348</v>
      </c>
    </row>
    <row r="8" spans="1:6">
      <c r="A8" s="18">
        <v>2024</v>
      </c>
      <c r="B8">
        <v>789.70000000000016</v>
      </c>
      <c r="D8">
        <v>13104.799999999997</v>
      </c>
      <c r="E8">
        <v>1795.0666665000001</v>
      </c>
      <c r="F8">
        <v>547.80000000000007</v>
      </c>
    </row>
    <row r="9" spans="1:6">
      <c r="A9" s="16">
        <v>74</v>
      </c>
      <c r="B9">
        <v>2337.6000000000004</v>
      </c>
      <c r="C9">
        <v>3661.0476183000005</v>
      </c>
      <c r="D9">
        <v>51746.840000000011</v>
      </c>
      <c r="E9">
        <v>5345.2000000000007</v>
      </c>
      <c r="F9">
        <v>1223.5</v>
      </c>
    </row>
    <row r="10" spans="1:6">
      <c r="A10" s="17" t="s">
        <v>89</v>
      </c>
      <c r="B10">
        <v>2337.6000000000004</v>
      </c>
      <c r="C10">
        <v>3661.0476183000005</v>
      </c>
      <c r="D10">
        <v>51746.840000000011</v>
      </c>
      <c r="E10">
        <v>5345.2000000000007</v>
      </c>
      <c r="F10">
        <v>1223.5</v>
      </c>
    </row>
    <row r="11" spans="1:6">
      <c r="A11" s="18">
        <v>2022</v>
      </c>
      <c r="B11">
        <v>787.2</v>
      </c>
      <c r="C11">
        <v>1809.0476187000002</v>
      </c>
      <c r="D11">
        <v>16977</v>
      </c>
      <c r="E11">
        <v>1570.1333333</v>
      </c>
      <c r="F11">
        <v>418.50000000000006</v>
      </c>
    </row>
    <row r="12" spans="1:6">
      <c r="A12" s="18">
        <v>2023</v>
      </c>
      <c r="B12">
        <v>792</v>
      </c>
      <c r="C12">
        <v>1851.9999996000004</v>
      </c>
      <c r="D12">
        <v>17287.560000000005</v>
      </c>
      <c r="E12">
        <v>2008.6666667</v>
      </c>
      <c r="F12">
        <v>432.20000000000005</v>
      </c>
    </row>
    <row r="13" spans="1:6">
      <c r="A13" s="18">
        <v>2024</v>
      </c>
      <c r="B13">
        <v>758.40000000000009</v>
      </c>
      <c r="D13">
        <v>17482.280000000002</v>
      </c>
      <c r="E13">
        <v>1766.4</v>
      </c>
      <c r="F13">
        <v>372.79999999999995</v>
      </c>
    </row>
    <row r="14" spans="1:6">
      <c r="A14" s="16">
        <v>75</v>
      </c>
      <c r="B14">
        <v>2330.1</v>
      </c>
      <c r="C14">
        <v>3495.9857148000001</v>
      </c>
      <c r="D14">
        <v>52731.46</v>
      </c>
      <c r="E14">
        <v>5718.9250000000002</v>
      </c>
      <c r="F14">
        <v>0</v>
      </c>
    </row>
    <row r="15" spans="1:6">
      <c r="A15" s="17" t="s">
        <v>90</v>
      </c>
      <c r="B15">
        <v>2330.1</v>
      </c>
      <c r="C15">
        <v>3495.9857148000001</v>
      </c>
      <c r="D15">
        <v>52731.46</v>
      </c>
      <c r="E15">
        <v>5718.9250000000002</v>
      </c>
      <c r="F15">
        <v>0</v>
      </c>
    </row>
    <row r="16" spans="1:6">
      <c r="A16" s="18">
        <v>2022</v>
      </c>
      <c r="B16">
        <v>770.99999999999989</v>
      </c>
      <c r="C16">
        <v>1717.8857148000004</v>
      </c>
      <c r="D16">
        <v>17594.280000000002</v>
      </c>
      <c r="E16">
        <v>1506.4749999999999</v>
      </c>
      <c r="F16">
        <v>0</v>
      </c>
    </row>
    <row r="17" spans="1:6">
      <c r="A17" s="18">
        <v>2023</v>
      </c>
      <c r="B17">
        <v>775.9</v>
      </c>
      <c r="C17">
        <v>1778.0999999999997</v>
      </c>
      <c r="D17">
        <v>17574.719999999998</v>
      </c>
      <c r="E17">
        <v>2190.6000000000004</v>
      </c>
      <c r="F17">
        <v>0</v>
      </c>
    </row>
    <row r="18" spans="1:6">
      <c r="A18" s="18">
        <v>2024</v>
      </c>
      <c r="B18">
        <v>783.19999999999993</v>
      </c>
      <c r="D18">
        <v>17562.46</v>
      </c>
      <c r="E18">
        <v>2021.85</v>
      </c>
      <c r="F18">
        <v>0</v>
      </c>
    </row>
    <row r="19" spans="1:6">
      <c r="A19" s="16">
        <v>76</v>
      </c>
      <c r="B19">
        <v>4664.2000000000007</v>
      </c>
      <c r="C19">
        <v>3542.7857148000003</v>
      </c>
      <c r="D19">
        <v>27718.82</v>
      </c>
      <c r="E19">
        <v>6132.9750000000004</v>
      </c>
      <c r="F19">
        <v>2835.7</v>
      </c>
    </row>
    <row r="20" spans="1:6">
      <c r="A20" s="17" t="s">
        <v>91</v>
      </c>
      <c r="B20">
        <v>4664.2000000000007</v>
      </c>
      <c r="C20">
        <v>3542.7857148000003</v>
      </c>
      <c r="D20">
        <v>27718.82</v>
      </c>
      <c r="E20">
        <v>6132.9750000000004</v>
      </c>
      <c r="F20">
        <v>2835.7</v>
      </c>
    </row>
    <row r="21" spans="1:6">
      <c r="A21" s="18">
        <v>2022</v>
      </c>
      <c r="B21">
        <v>1554.2</v>
      </c>
      <c r="C21">
        <v>1744.2857148000005</v>
      </c>
      <c r="D21">
        <v>9447.3599999999988</v>
      </c>
      <c r="E21">
        <v>1660.6500000000003</v>
      </c>
      <c r="F21">
        <v>978</v>
      </c>
    </row>
    <row r="22" spans="1:6">
      <c r="A22" s="18">
        <v>2023</v>
      </c>
      <c r="B22">
        <v>1565.1</v>
      </c>
      <c r="C22">
        <v>1798.5</v>
      </c>
      <c r="D22">
        <v>8721.130000000001</v>
      </c>
      <c r="E22">
        <v>2354.4499999999998</v>
      </c>
      <c r="F22">
        <v>925.90000000000009</v>
      </c>
    </row>
    <row r="23" spans="1:6">
      <c r="A23" s="18">
        <v>2024</v>
      </c>
      <c r="B23">
        <v>1544.9</v>
      </c>
      <c r="D23">
        <v>9550.33</v>
      </c>
      <c r="E23">
        <v>2117.875</v>
      </c>
      <c r="F23">
        <v>931.79999999999984</v>
      </c>
    </row>
    <row r="24" spans="1:6">
      <c r="A24" s="16">
        <v>77</v>
      </c>
      <c r="B24">
        <v>2262.3000000000002</v>
      </c>
      <c r="C24">
        <v>3554.9142851999991</v>
      </c>
      <c r="D24">
        <v>34017.300000000003</v>
      </c>
      <c r="E24">
        <v>6060.35</v>
      </c>
      <c r="F24">
        <v>2676.1000000000004</v>
      </c>
    </row>
    <row r="25" spans="1:6">
      <c r="A25" s="17" t="s">
        <v>92</v>
      </c>
      <c r="B25">
        <v>2262.3000000000002</v>
      </c>
      <c r="C25">
        <v>3554.9142851999991</v>
      </c>
      <c r="D25">
        <v>34017.300000000003</v>
      </c>
      <c r="E25">
        <v>6060.35</v>
      </c>
      <c r="F25">
        <v>2676.1000000000004</v>
      </c>
    </row>
    <row r="26" spans="1:6">
      <c r="A26" s="18">
        <v>2022</v>
      </c>
      <c r="B26">
        <v>760.59999999999991</v>
      </c>
      <c r="C26">
        <v>1747.7142851999995</v>
      </c>
      <c r="D26">
        <v>10772.759999999997</v>
      </c>
      <c r="E26">
        <v>1666.45</v>
      </c>
      <c r="F26">
        <v>672.8</v>
      </c>
    </row>
    <row r="27" spans="1:6">
      <c r="A27" s="18">
        <v>2023</v>
      </c>
      <c r="B27">
        <v>761.9</v>
      </c>
      <c r="C27">
        <v>1807.1999999999996</v>
      </c>
      <c r="D27">
        <v>10841.600000000002</v>
      </c>
      <c r="E27">
        <v>2322.375</v>
      </c>
      <c r="F27">
        <v>858.10000000000014</v>
      </c>
    </row>
    <row r="28" spans="1:6">
      <c r="A28" s="18">
        <v>2024</v>
      </c>
      <c r="B28">
        <v>739.80000000000007</v>
      </c>
      <c r="D28">
        <v>12402.940000000004</v>
      </c>
      <c r="E28">
        <v>2071.5250000000001</v>
      </c>
      <c r="F28">
        <v>1145.2</v>
      </c>
    </row>
    <row r="29" spans="1:6">
      <c r="A29" s="16">
        <v>78</v>
      </c>
      <c r="B29">
        <v>2328.6</v>
      </c>
      <c r="C29">
        <v>3395.6000003999998</v>
      </c>
      <c r="D29">
        <v>39912.61</v>
      </c>
      <c r="E29">
        <v>6634.3249999999989</v>
      </c>
      <c r="F29">
        <v>3289.5</v>
      </c>
    </row>
    <row r="30" spans="1:6">
      <c r="A30" s="17" t="s">
        <v>93</v>
      </c>
      <c r="B30">
        <v>2328.6</v>
      </c>
      <c r="C30">
        <v>3395.6000003999998</v>
      </c>
      <c r="D30">
        <v>39912.61</v>
      </c>
      <c r="E30">
        <v>6634.3249999999989</v>
      </c>
      <c r="F30">
        <v>3289.5</v>
      </c>
    </row>
    <row r="31" spans="1:6">
      <c r="A31" s="18">
        <v>2022</v>
      </c>
      <c r="B31">
        <v>779.80000000000007</v>
      </c>
      <c r="C31">
        <v>1675.1999999999996</v>
      </c>
      <c r="D31">
        <v>13605</v>
      </c>
      <c r="E31">
        <v>1835.5250000000001</v>
      </c>
      <c r="F31">
        <v>1048</v>
      </c>
    </row>
    <row r="32" spans="1:6">
      <c r="A32" s="18">
        <v>2023</v>
      </c>
      <c r="B32">
        <v>782.4</v>
      </c>
      <c r="C32">
        <v>1720.4000004</v>
      </c>
      <c r="D32">
        <v>12557.38</v>
      </c>
      <c r="E32">
        <v>2475.375</v>
      </c>
      <c r="F32">
        <v>874.50000000000011</v>
      </c>
    </row>
    <row r="33" spans="1:6">
      <c r="A33" s="18">
        <v>2024</v>
      </c>
      <c r="B33">
        <v>766.39999999999975</v>
      </c>
      <c r="D33">
        <v>13750.230000000001</v>
      </c>
      <c r="E33">
        <v>2323.4249999999997</v>
      </c>
      <c r="F33">
        <v>1367</v>
      </c>
    </row>
    <row r="34" spans="1:6">
      <c r="A34" s="16">
        <v>79</v>
      </c>
      <c r="B34">
        <v>2322</v>
      </c>
      <c r="C34">
        <v>3491.2285716000001</v>
      </c>
      <c r="D34">
        <v>61157.369999999995</v>
      </c>
      <c r="E34">
        <v>5745.625</v>
      </c>
      <c r="F34">
        <v>0</v>
      </c>
    </row>
    <row r="35" spans="1:6">
      <c r="A35" s="17" t="s">
        <v>94</v>
      </c>
      <c r="B35">
        <v>2322</v>
      </c>
      <c r="C35">
        <v>3491.2285716000001</v>
      </c>
      <c r="D35">
        <v>61157.369999999995</v>
      </c>
      <c r="E35">
        <v>5745.625</v>
      </c>
      <c r="F35">
        <v>0</v>
      </c>
    </row>
    <row r="36" spans="1:6">
      <c r="A36" s="18">
        <v>2022</v>
      </c>
      <c r="B36">
        <v>780.80000000000007</v>
      </c>
      <c r="C36">
        <v>1715.8285715999998</v>
      </c>
      <c r="D36">
        <v>19762.920000000002</v>
      </c>
      <c r="E36">
        <v>1553.7250000000001</v>
      </c>
      <c r="F36">
        <v>0</v>
      </c>
    </row>
    <row r="37" spans="1:6">
      <c r="A37" s="18">
        <v>2023</v>
      </c>
      <c r="B37">
        <v>774.4</v>
      </c>
      <c r="C37">
        <v>1775.4000000000003</v>
      </c>
      <c r="D37">
        <v>19424.569999999992</v>
      </c>
      <c r="E37">
        <v>2205.2750000000001</v>
      </c>
      <c r="F37">
        <v>0</v>
      </c>
    </row>
    <row r="38" spans="1:6">
      <c r="A38" s="18">
        <v>2024</v>
      </c>
      <c r="B38">
        <v>766.8</v>
      </c>
      <c r="D38">
        <v>21969.88</v>
      </c>
      <c r="E38">
        <v>1986.6250000000005</v>
      </c>
      <c r="F38">
        <v>0</v>
      </c>
    </row>
    <row r="39" spans="1:6">
      <c r="A39" s="16">
        <v>80</v>
      </c>
      <c r="B39">
        <v>2359.5</v>
      </c>
      <c r="D39">
        <v>51745.680000000008</v>
      </c>
      <c r="F39">
        <v>7752.9000000000005</v>
      </c>
    </row>
    <row r="40" spans="1:6">
      <c r="A40" s="17" t="s">
        <v>95</v>
      </c>
      <c r="B40">
        <v>2359.5</v>
      </c>
      <c r="D40">
        <v>51745.680000000008</v>
      </c>
      <c r="F40">
        <v>7752.9000000000005</v>
      </c>
    </row>
    <row r="41" spans="1:6">
      <c r="A41" s="18">
        <v>2022</v>
      </c>
      <c r="B41">
        <v>787.69999999999993</v>
      </c>
      <c r="D41">
        <v>17481</v>
      </c>
      <c r="F41">
        <v>6066</v>
      </c>
    </row>
    <row r="42" spans="1:6">
      <c r="A42" s="18">
        <v>2023</v>
      </c>
      <c r="B42">
        <v>786.99999999999989</v>
      </c>
      <c r="D42">
        <v>17215.560000000005</v>
      </c>
      <c r="F42">
        <v>813.1</v>
      </c>
    </row>
    <row r="43" spans="1:6">
      <c r="A43" s="18">
        <v>2024</v>
      </c>
      <c r="B43">
        <v>784.80000000000007</v>
      </c>
      <c r="D43">
        <v>17049.12</v>
      </c>
      <c r="F43">
        <v>873.8</v>
      </c>
    </row>
    <row r="44" spans="1:6">
      <c r="A44" s="16">
        <v>81</v>
      </c>
      <c r="B44">
        <v>2206.1999999999998</v>
      </c>
      <c r="D44">
        <v>26291.67</v>
      </c>
      <c r="F44">
        <v>2247.1</v>
      </c>
    </row>
    <row r="45" spans="1:6">
      <c r="A45" s="17" t="s">
        <v>96</v>
      </c>
      <c r="B45">
        <v>2206.1999999999998</v>
      </c>
      <c r="D45">
        <v>26291.67</v>
      </c>
      <c r="F45">
        <v>2247.1</v>
      </c>
    </row>
    <row r="46" spans="1:6">
      <c r="A46" s="18">
        <v>2022</v>
      </c>
      <c r="B46">
        <v>746.10000000000014</v>
      </c>
      <c r="D46">
        <v>8561.2800000000025</v>
      </c>
      <c r="F46">
        <v>388</v>
      </c>
    </row>
    <row r="47" spans="1:6">
      <c r="A47" s="18">
        <v>2023</v>
      </c>
      <c r="B47">
        <v>731.4</v>
      </c>
      <c r="D47">
        <v>8339.6499999999978</v>
      </c>
      <c r="F47">
        <v>990.7</v>
      </c>
    </row>
    <row r="48" spans="1:6">
      <c r="A48" s="18">
        <v>2024</v>
      </c>
      <c r="B48">
        <v>728.69999999999993</v>
      </c>
      <c r="D48">
        <v>9390.74</v>
      </c>
      <c r="F48">
        <v>868.39999999999986</v>
      </c>
    </row>
    <row r="49" spans="1:6">
      <c r="A49" s="16">
        <v>82</v>
      </c>
      <c r="B49">
        <v>2302.4</v>
      </c>
      <c r="C49">
        <v>3412.0714283999996</v>
      </c>
      <c r="D49">
        <v>42293.8</v>
      </c>
      <c r="E49">
        <v>6193.5250000000005</v>
      </c>
      <c r="F49">
        <v>2506.8000000000002</v>
      </c>
    </row>
    <row r="50" spans="1:6">
      <c r="A50" s="17" t="s">
        <v>97</v>
      </c>
      <c r="B50">
        <v>2302.4</v>
      </c>
      <c r="C50">
        <v>3412.0714283999996</v>
      </c>
      <c r="D50">
        <v>42293.8</v>
      </c>
      <c r="E50">
        <v>6193.5250000000005</v>
      </c>
      <c r="F50">
        <v>2506.8000000000002</v>
      </c>
    </row>
    <row r="51" spans="1:6">
      <c r="A51" s="18">
        <v>2022</v>
      </c>
      <c r="B51">
        <v>768.8</v>
      </c>
      <c r="C51">
        <v>1682.5714283999996</v>
      </c>
      <c r="D51">
        <v>13880.639999999998</v>
      </c>
      <c r="E51">
        <v>1613.9</v>
      </c>
      <c r="F51">
        <v>1183</v>
      </c>
    </row>
    <row r="52" spans="1:6">
      <c r="A52" s="18">
        <v>2023</v>
      </c>
      <c r="B52">
        <v>782.8</v>
      </c>
      <c r="C52">
        <v>1729.5</v>
      </c>
      <c r="D52">
        <v>13397.12</v>
      </c>
      <c r="E52">
        <v>2393.9000000000005</v>
      </c>
      <c r="F52">
        <v>220.60000000000002</v>
      </c>
    </row>
    <row r="53" spans="1:6">
      <c r="A53" s="18">
        <v>2024</v>
      </c>
      <c r="B53">
        <v>750.80000000000007</v>
      </c>
      <c r="D53">
        <v>15016.04</v>
      </c>
      <c r="E53">
        <v>2185.7249999999999</v>
      </c>
      <c r="F53">
        <v>1103.2</v>
      </c>
    </row>
    <row r="54" spans="1:6">
      <c r="A54" s="16" t="s">
        <v>104</v>
      </c>
      <c r="B54">
        <v>25510.1</v>
      </c>
      <c r="C54">
        <v>28235.461905400003</v>
      </c>
      <c r="D54">
        <v>425608.71</v>
      </c>
      <c r="E54">
        <v>47382.083333200011</v>
      </c>
      <c r="F54">
        <v>23840.799999999999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0803-7FF3-6342-B843-E96BFA43BEF4}">
  <dimension ref="A3:F24"/>
  <sheetViews>
    <sheetView workbookViewId="0">
      <selection activeCell="A3" sqref="A3"/>
    </sheetView>
  </sheetViews>
  <sheetFormatPr defaultColWidth="11" defaultRowHeight="15.75"/>
  <cols>
    <col min="1" max="1" width="33.625" customWidth="1"/>
    <col min="2" max="3" width="22.5" bestFit="1" customWidth="1"/>
    <col min="4" max="4" width="34" bestFit="1" customWidth="1"/>
    <col min="5" max="5" width="21.875" bestFit="1" customWidth="1"/>
    <col min="6" max="6" width="21.625" bestFit="1" customWidth="1"/>
  </cols>
  <sheetData>
    <row r="3" spans="1:6">
      <c r="A3" s="15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</row>
    <row r="4" spans="1:6">
      <c r="A4" s="16">
        <v>73</v>
      </c>
      <c r="B4">
        <v>2397.1999999999994</v>
      </c>
      <c r="C4">
        <v>3681.828571900001</v>
      </c>
      <c r="D4">
        <v>37993.159999999982</v>
      </c>
      <c r="E4">
        <v>5551.1583332</v>
      </c>
      <c r="F4">
        <v>1309.2000000000003</v>
      </c>
    </row>
    <row r="5" spans="1:6">
      <c r="A5" s="17" t="s">
        <v>76</v>
      </c>
      <c r="B5">
        <v>2397.1999999999994</v>
      </c>
      <c r="C5">
        <v>3681.828571900001</v>
      </c>
      <c r="D5">
        <v>37993.159999999982</v>
      </c>
      <c r="E5">
        <v>5551.1583332</v>
      </c>
      <c r="F5">
        <v>1309.2000000000003</v>
      </c>
    </row>
    <row r="6" spans="1:6">
      <c r="A6" s="16">
        <v>74</v>
      </c>
      <c r="B6">
        <v>2337.5999999999995</v>
      </c>
      <c r="C6">
        <v>3661.0476183000005</v>
      </c>
      <c r="D6">
        <v>51746.840000000011</v>
      </c>
      <c r="E6">
        <v>5345.1999999999989</v>
      </c>
      <c r="F6">
        <v>1223.5000000000002</v>
      </c>
    </row>
    <row r="7" spans="1:6">
      <c r="A7" s="17" t="s">
        <v>89</v>
      </c>
      <c r="B7">
        <v>2337.5999999999995</v>
      </c>
      <c r="C7">
        <v>3661.0476183000005</v>
      </c>
      <c r="D7">
        <v>51746.840000000011</v>
      </c>
      <c r="E7">
        <v>5345.1999999999989</v>
      </c>
      <c r="F7">
        <v>1223.5000000000002</v>
      </c>
    </row>
    <row r="8" spans="1:6">
      <c r="A8" s="16">
        <v>75</v>
      </c>
      <c r="B8">
        <v>2330.1</v>
      </c>
      <c r="C8">
        <v>3495.9857148000019</v>
      </c>
      <c r="D8">
        <v>52731.460000000014</v>
      </c>
      <c r="E8">
        <v>5718.925000000002</v>
      </c>
      <c r="F8">
        <v>0</v>
      </c>
    </row>
    <row r="9" spans="1:6">
      <c r="A9" s="17" t="s">
        <v>90</v>
      </c>
      <c r="B9">
        <v>2330.1</v>
      </c>
      <c r="C9">
        <v>3495.9857148000019</v>
      </c>
      <c r="D9">
        <v>52731.460000000014</v>
      </c>
      <c r="E9">
        <v>5718.925000000002</v>
      </c>
      <c r="F9">
        <v>0</v>
      </c>
    </row>
    <row r="10" spans="1:6">
      <c r="A10" s="16">
        <v>76</v>
      </c>
      <c r="B10">
        <v>4664.2</v>
      </c>
      <c r="C10">
        <v>3542.7857148000003</v>
      </c>
      <c r="D10">
        <v>27718.820000000003</v>
      </c>
      <c r="E10">
        <v>6132.9749999999995</v>
      </c>
      <c r="F10">
        <v>2835.7000000000012</v>
      </c>
    </row>
    <row r="11" spans="1:6">
      <c r="A11" s="17" t="s">
        <v>91</v>
      </c>
      <c r="B11">
        <v>4664.2</v>
      </c>
      <c r="C11">
        <v>3542.7857148000003</v>
      </c>
      <c r="D11">
        <v>27718.820000000003</v>
      </c>
      <c r="E11">
        <v>6132.9749999999995</v>
      </c>
      <c r="F11">
        <v>2835.7000000000012</v>
      </c>
    </row>
    <row r="12" spans="1:6">
      <c r="A12" s="16">
        <v>77</v>
      </c>
      <c r="B12">
        <v>2262.2999999999993</v>
      </c>
      <c r="C12">
        <v>3554.9142851999986</v>
      </c>
      <c r="D12">
        <v>34017.299999999981</v>
      </c>
      <c r="E12">
        <v>6060.35</v>
      </c>
      <c r="F12">
        <v>2676.1</v>
      </c>
    </row>
    <row r="13" spans="1:6">
      <c r="A13" s="17" t="s">
        <v>92</v>
      </c>
      <c r="B13">
        <v>2262.2999999999993</v>
      </c>
      <c r="C13">
        <v>3554.9142851999986</v>
      </c>
      <c r="D13">
        <v>34017.299999999981</v>
      </c>
      <c r="E13">
        <v>6060.35</v>
      </c>
      <c r="F13">
        <v>2676.1</v>
      </c>
    </row>
    <row r="14" spans="1:6">
      <c r="A14" s="16">
        <v>78</v>
      </c>
      <c r="B14">
        <v>2328.6000000000008</v>
      </c>
      <c r="C14">
        <v>3395.600000399998</v>
      </c>
      <c r="D14">
        <v>39912.610000000008</v>
      </c>
      <c r="E14">
        <v>6634.3250000000007</v>
      </c>
      <c r="F14">
        <v>3289.5</v>
      </c>
    </row>
    <row r="15" spans="1:6">
      <c r="A15" s="17" t="s">
        <v>93</v>
      </c>
      <c r="B15">
        <v>2328.6000000000008</v>
      </c>
      <c r="C15">
        <v>3395.600000399998</v>
      </c>
      <c r="D15">
        <v>39912.610000000008</v>
      </c>
      <c r="E15">
        <v>6634.3250000000007</v>
      </c>
      <c r="F15">
        <v>3289.5</v>
      </c>
    </row>
    <row r="16" spans="1:6">
      <c r="A16" s="16">
        <v>79</v>
      </c>
      <c r="B16">
        <v>2322</v>
      </c>
      <c r="C16">
        <v>3491.2285715999983</v>
      </c>
      <c r="D16">
        <v>61157.37000000001</v>
      </c>
      <c r="E16">
        <v>5745.6249999999973</v>
      </c>
      <c r="F16">
        <v>0</v>
      </c>
    </row>
    <row r="17" spans="1:6">
      <c r="A17" s="17" t="s">
        <v>94</v>
      </c>
      <c r="B17">
        <v>2322</v>
      </c>
      <c r="C17">
        <v>3491.2285715999983</v>
      </c>
      <c r="D17">
        <v>61157.37000000001</v>
      </c>
      <c r="E17">
        <v>5745.6249999999973</v>
      </c>
      <c r="F17">
        <v>0</v>
      </c>
    </row>
    <row r="18" spans="1:6">
      <c r="A18" s="16">
        <v>80</v>
      </c>
      <c r="B18">
        <v>2359.5</v>
      </c>
      <c r="D18">
        <v>51745.68</v>
      </c>
      <c r="F18">
        <v>7752.8999999999987</v>
      </c>
    </row>
    <row r="19" spans="1:6">
      <c r="A19" s="17" t="s">
        <v>95</v>
      </c>
      <c r="B19">
        <v>2359.5</v>
      </c>
      <c r="D19">
        <v>51745.68</v>
      </c>
      <c r="F19">
        <v>7752.8999999999987</v>
      </c>
    </row>
    <row r="20" spans="1:6">
      <c r="A20" s="16">
        <v>81</v>
      </c>
      <c r="B20">
        <v>2206.2000000000003</v>
      </c>
      <c r="D20">
        <v>26291.670000000006</v>
      </c>
      <c r="F20">
        <v>2247.1000000000004</v>
      </c>
    </row>
    <row r="21" spans="1:6">
      <c r="A21" s="17" t="s">
        <v>96</v>
      </c>
      <c r="B21">
        <v>2206.2000000000003</v>
      </c>
      <c r="D21">
        <v>26291.670000000006</v>
      </c>
      <c r="F21">
        <v>2247.1000000000004</v>
      </c>
    </row>
    <row r="22" spans="1:6">
      <c r="A22" s="16">
        <v>82</v>
      </c>
      <c r="B22">
        <v>2302.3999999999996</v>
      </c>
      <c r="C22">
        <v>3412.0714283999996</v>
      </c>
      <c r="D22">
        <v>42293.799999999988</v>
      </c>
      <c r="E22">
        <v>6193.5250000000005</v>
      </c>
      <c r="F22">
        <v>2506.8000000000002</v>
      </c>
    </row>
    <row r="23" spans="1:6">
      <c r="A23" s="17" t="s">
        <v>97</v>
      </c>
      <c r="B23">
        <v>2302.3999999999996</v>
      </c>
      <c r="C23">
        <v>3412.0714283999996</v>
      </c>
      <c r="D23">
        <v>42293.799999999988</v>
      </c>
      <c r="E23">
        <v>6193.5250000000005</v>
      </c>
      <c r="F23">
        <v>2506.8000000000002</v>
      </c>
    </row>
    <row r="24" spans="1:6">
      <c r="A24" s="16" t="s">
        <v>104</v>
      </c>
      <c r="B24">
        <v>25510.1</v>
      </c>
      <c r="C24">
        <v>28235.461905399996</v>
      </c>
      <c r="D24">
        <v>425608.71</v>
      </c>
      <c r="E24">
        <v>47382.083333199997</v>
      </c>
      <c r="F24">
        <v>23840.799999999999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5D21-6725-D340-A1E4-89A603A74352}">
  <dimension ref="A3:G13"/>
  <sheetViews>
    <sheetView workbookViewId="0">
      <selection activeCell="A3" sqref="A3"/>
    </sheetView>
  </sheetViews>
  <sheetFormatPr defaultColWidth="11" defaultRowHeight="15.75"/>
  <cols>
    <col min="1" max="1" width="24.5" customWidth="1"/>
    <col min="2" max="2" width="26.5" customWidth="1"/>
    <col min="3" max="4" width="22.5" bestFit="1" customWidth="1"/>
    <col min="5" max="5" width="34" bestFit="1" customWidth="1"/>
    <col min="6" max="6" width="21.875" bestFit="1" customWidth="1"/>
    <col min="7" max="7" width="21.625" bestFit="1" customWidth="1"/>
  </cols>
  <sheetData>
    <row r="3" spans="1:7">
      <c r="A3" s="15" t="s">
        <v>64</v>
      </c>
      <c r="B3" s="15" t="s">
        <v>65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</row>
    <row r="4" spans="1:7">
      <c r="A4">
        <v>73</v>
      </c>
      <c r="B4" t="s">
        <v>76</v>
      </c>
      <c r="C4">
        <v>2397.1999999999994</v>
      </c>
      <c r="D4">
        <v>3681.828571900001</v>
      </c>
      <c r="E4">
        <v>37993.159999999982</v>
      </c>
      <c r="F4">
        <v>5551.1583332</v>
      </c>
      <c r="G4">
        <v>1309.2000000000003</v>
      </c>
    </row>
    <row r="5" spans="1:7">
      <c r="A5">
        <v>74</v>
      </c>
      <c r="B5" t="s">
        <v>89</v>
      </c>
      <c r="C5">
        <v>2337.5999999999995</v>
      </c>
      <c r="D5">
        <v>3661.0476183000005</v>
      </c>
      <c r="E5">
        <v>51746.840000000011</v>
      </c>
      <c r="F5">
        <v>5345.1999999999989</v>
      </c>
      <c r="G5">
        <v>1223.5000000000002</v>
      </c>
    </row>
    <row r="6" spans="1:7">
      <c r="A6">
        <v>75</v>
      </c>
      <c r="B6" t="s">
        <v>90</v>
      </c>
      <c r="C6">
        <v>2330.1</v>
      </c>
      <c r="D6">
        <v>3495.9857148000019</v>
      </c>
      <c r="E6">
        <v>52731.460000000014</v>
      </c>
      <c r="F6">
        <v>5718.925000000002</v>
      </c>
      <c r="G6">
        <v>0</v>
      </c>
    </row>
    <row r="7" spans="1:7">
      <c r="A7">
        <v>76</v>
      </c>
      <c r="B7" t="s">
        <v>91</v>
      </c>
      <c r="C7">
        <v>4664.2</v>
      </c>
      <c r="D7">
        <v>3542.7857148000003</v>
      </c>
      <c r="E7">
        <v>27718.820000000003</v>
      </c>
      <c r="F7">
        <v>6132.9749999999995</v>
      </c>
      <c r="G7">
        <v>2835.7000000000012</v>
      </c>
    </row>
    <row r="8" spans="1:7">
      <c r="A8">
        <v>77</v>
      </c>
      <c r="B8" t="s">
        <v>92</v>
      </c>
      <c r="C8">
        <v>2262.2999999999993</v>
      </c>
      <c r="D8">
        <v>3554.9142851999986</v>
      </c>
      <c r="E8">
        <v>34017.299999999981</v>
      </c>
      <c r="F8">
        <v>6060.35</v>
      </c>
      <c r="G8">
        <v>2676.1</v>
      </c>
    </row>
    <row r="9" spans="1:7">
      <c r="A9">
        <v>78</v>
      </c>
      <c r="B9" t="s">
        <v>93</v>
      </c>
      <c r="C9">
        <v>2328.6000000000008</v>
      </c>
      <c r="D9">
        <v>3395.600000399998</v>
      </c>
      <c r="E9">
        <v>39912.610000000008</v>
      </c>
      <c r="F9">
        <v>6634.3250000000007</v>
      </c>
      <c r="G9">
        <v>3289.5</v>
      </c>
    </row>
    <row r="10" spans="1:7">
      <c r="A10">
        <v>79</v>
      </c>
      <c r="B10" t="s">
        <v>94</v>
      </c>
      <c r="C10">
        <v>2322</v>
      </c>
      <c r="D10">
        <v>3491.2285715999983</v>
      </c>
      <c r="E10">
        <v>61157.37000000001</v>
      </c>
      <c r="F10">
        <v>5745.6249999999973</v>
      </c>
      <c r="G10">
        <v>0</v>
      </c>
    </row>
    <row r="11" spans="1:7">
      <c r="A11">
        <v>80</v>
      </c>
      <c r="B11" t="s">
        <v>95</v>
      </c>
      <c r="C11">
        <v>2359.5</v>
      </c>
      <c r="E11">
        <v>51745.68</v>
      </c>
      <c r="G11">
        <v>7752.8999999999987</v>
      </c>
    </row>
    <row r="12" spans="1:7">
      <c r="A12">
        <v>81</v>
      </c>
      <c r="B12" t="s">
        <v>96</v>
      </c>
      <c r="C12">
        <v>2206.2000000000003</v>
      </c>
      <c r="E12">
        <v>26291.670000000006</v>
      </c>
      <c r="G12">
        <v>2247.1000000000004</v>
      </c>
    </row>
    <row r="13" spans="1:7">
      <c r="A13">
        <v>82</v>
      </c>
      <c r="B13" t="s">
        <v>97</v>
      </c>
      <c r="C13">
        <v>2302.3999999999996</v>
      </c>
      <c r="D13">
        <v>3412.0714283999996</v>
      </c>
      <c r="E13">
        <v>42293.799999999988</v>
      </c>
      <c r="F13">
        <v>6193.5250000000005</v>
      </c>
      <c r="G13">
        <v>2506.8000000000002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2A6-01C5-804B-921C-8A54871BE43E}">
  <dimension ref="A3:I28"/>
  <sheetViews>
    <sheetView workbookViewId="0">
      <selection activeCell="D37" sqref="D37"/>
    </sheetView>
  </sheetViews>
  <sheetFormatPr defaultColWidth="11" defaultRowHeight="15.75"/>
  <cols>
    <col min="1" max="1" width="11.5" customWidth="1"/>
    <col min="2" max="2" width="23.875" customWidth="1"/>
    <col min="3" max="3" width="22.5" bestFit="1" customWidth="1"/>
    <col min="4" max="4" width="34" bestFit="1" customWidth="1"/>
    <col min="5" max="5" width="22.5" bestFit="1" customWidth="1"/>
    <col min="6" max="6" width="21.875" bestFit="1" customWidth="1"/>
    <col min="7" max="7" width="21.625" bestFit="1" customWidth="1"/>
    <col min="9" max="9" width="11.875" bestFit="1" customWidth="1"/>
  </cols>
  <sheetData>
    <row r="3" spans="1:7">
      <c r="A3" s="15" t="s">
        <v>64</v>
      </c>
      <c r="B3" s="15" t="s">
        <v>65</v>
      </c>
      <c r="C3" t="s">
        <v>99</v>
      </c>
      <c r="D3" t="s">
        <v>101</v>
      </c>
      <c r="E3" t="s">
        <v>100</v>
      </c>
      <c r="F3" t="s">
        <v>102</v>
      </c>
      <c r="G3" t="s">
        <v>103</v>
      </c>
    </row>
    <row r="4" spans="1:7">
      <c r="A4">
        <v>73</v>
      </c>
      <c r="B4" t="s">
        <v>76</v>
      </c>
      <c r="C4">
        <v>2397.1999999999994</v>
      </c>
      <c r="D4">
        <v>37993.159999999982</v>
      </c>
      <c r="E4">
        <v>3681.828571900001</v>
      </c>
      <c r="F4">
        <v>5551.1583332</v>
      </c>
      <c r="G4">
        <v>1309.2000000000003</v>
      </c>
    </row>
    <row r="5" spans="1:7">
      <c r="A5">
        <v>74</v>
      </c>
      <c r="B5" t="s">
        <v>89</v>
      </c>
      <c r="C5">
        <v>2337.5999999999995</v>
      </c>
      <c r="D5">
        <v>51746.840000000011</v>
      </c>
      <c r="E5">
        <v>3661.0476183000005</v>
      </c>
      <c r="F5">
        <v>5345.1999999999989</v>
      </c>
      <c r="G5">
        <v>1223.5000000000002</v>
      </c>
    </row>
    <row r="6" spans="1:7">
      <c r="A6">
        <v>75</v>
      </c>
      <c r="B6" t="s">
        <v>90</v>
      </c>
      <c r="C6">
        <v>2330.1</v>
      </c>
      <c r="D6">
        <v>52731.460000000014</v>
      </c>
      <c r="E6">
        <v>3495.9857148000019</v>
      </c>
      <c r="F6">
        <v>5718.925000000002</v>
      </c>
      <c r="G6">
        <v>0</v>
      </c>
    </row>
    <row r="7" spans="1:7">
      <c r="A7">
        <v>76</v>
      </c>
      <c r="B7" t="s">
        <v>91</v>
      </c>
      <c r="C7">
        <v>4664.2</v>
      </c>
      <c r="D7">
        <v>27718.820000000003</v>
      </c>
      <c r="E7">
        <v>3542.7857148000003</v>
      </c>
      <c r="F7">
        <v>6132.9749999999995</v>
      </c>
      <c r="G7">
        <v>2835.7000000000012</v>
      </c>
    </row>
    <row r="8" spans="1:7">
      <c r="A8">
        <v>77</v>
      </c>
      <c r="B8" t="s">
        <v>92</v>
      </c>
      <c r="C8">
        <v>2262.2999999999993</v>
      </c>
      <c r="D8">
        <v>34017.299999999981</v>
      </c>
      <c r="E8">
        <v>3554.9142851999986</v>
      </c>
      <c r="F8">
        <v>6060.35</v>
      </c>
      <c r="G8">
        <v>2676.1</v>
      </c>
    </row>
    <row r="9" spans="1:7">
      <c r="A9">
        <v>78</v>
      </c>
      <c r="B9" t="s">
        <v>93</v>
      </c>
      <c r="C9">
        <v>2328.6000000000008</v>
      </c>
      <c r="D9">
        <v>39912.610000000008</v>
      </c>
      <c r="E9">
        <v>3395.600000399998</v>
      </c>
      <c r="F9">
        <v>6634.3250000000007</v>
      </c>
      <c r="G9">
        <v>3289.5</v>
      </c>
    </row>
    <row r="10" spans="1:7">
      <c r="A10">
        <v>79</v>
      </c>
      <c r="B10" t="s">
        <v>94</v>
      </c>
      <c r="C10">
        <v>2322</v>
      </c>
      <c r="D10">
        <v>61157.37000000001</v>
      </c>
      <c r="E10">
        <v>3491.2285715999983</v>
      </c>
      <c r="F10">
        <v>5745.6249999999973</v>
      </c>
      <c r="G10">
        <v>0</v>
      </c>
    </row>
    <row r="11" spans="1:7">
      <c r="A11">
        <v>80</v>
      </c>
      <c r="B11" t="s">
        <v>95</v>
      </c>
      <c r="C11">
        <v>2359.5</v>
      </c>
      <c r="D11">
        <v>51745.68</v>
      </c>
      <c r="G11">
        <v>7752.8999999999987</v>
      </c>
    </row>
    <row r="12" spans="1:7">
      <c r="A12">
        <v>81</v>
      </c>
      <c r="B12" t="s">
        <v>96</v>
      </c>
      <c r="C12">
        <v>2206.2000000000003</v>
      </c>
      <c r="D12">
        <v>26291.670000000006</v>
      </c>
      <c r="G12">
        <v>2247.1000000000004</v>
      </c>
    </row>
    <row r="13" spans="1:7">
      <c r="A13">
        <v>82</v>
      </c>
      <c r="B13" t="s">
        <v>97</v>
      </c>
      <c r="C13">
        <v>2302.3999999999996</v>
      </c>
      <c r="D13">
        <v>42293.799999999988</v>
      </c>
      <c r="E13">
        <v>3412.0714283999996</v>
      </c>
      <c r="F13">
        <v>6193.5250000000005</v>
      </c>
      <c r="G13">
        <v>2506.8000000000002</v>
      </c>
    </row>
    <row r="17" spans="1:9" ht="31.5">
      <c r="A17" s="21" t="str">
        <f>A3</f>
        <v>City_Id</v>
      </c>
      <c r="B17" s="21" t="str">
        <f>B3</f>
        <v>City_Name</v>
      </c>
      <c r="C17" s="22" t="str">
        <f>"Ranks of " &amp;C3</f>
        <v>Ranks of Sum of Employment_Rate</v>
      </c>
      <c r="D17" s="22" t="str">
        <f>"Rank of " &amp;D3</f>
        <v>Rank of Sum of Violent_Crimes_Rate_Per_100K</v>
      </c>
      <c r="E17" s="22" t="str">
        <f>"Rank of " &amp;E3</f>
        <v>Rank of Sum of Average_Rent_Cpi</v>
      </c>
      <c r="F17" s="22" t="str">
        <f>"Rank of " &amp;F3</f>
        <v>Rank of Sum of Gas_Price_Cents</v>
      </c>
      <c r="G17" s="22" t="str">
        <f>"Rank of " &amp;G3</f>
        <v>Rank of Sum of Total_Precip_Mm</v>
      </c>
      <c r="H17" s="21" t="s">
        <v>105</v>
      </c>
      <c r="I17" s="21" t="s">
        <v>106</v>
      </c>
    </row>
    <row r="18" spans="1:9">
      <c r="A18" s="20">
        <f t="shared" ref="A18:B27" si="0">A4</f>
        <v>73</v>
      </c>
      <c r="B18" s="20" t="str">
        <f t="shared" si="0"/>
        <v xml:space="preserve">Calgary                                                                                                                                                                                                                                                        </v>
      </c>
      <c r="C18" s="20">
        <f>RANK(C4,C$4:C$13)</f>
        <v>2</v>
      </c>
      <c r="D18" s="20">
        <f>RANK(D4,D$4:D$13)</f>
        <v>7</v>
      </c>
      <c r="E18" s="20">
        <f>RANK(E4, E$4:E$13)</f>
        <v>1</v>
      </c>
      <c r="F18" s="20">
        <f>RANK(F4, F$4:F$13)</f>
        <v>7</v>
      </c>
      <c r="G18" s="20">
        <f>RANK(G4, G$4:G$13)</f>
        <v>7</v>
      </c>
      <c r="H18" s="20">
        <f>SUM(C18:G18)</f>
        <v>24</v>
      </c>
      <c r="I18" s="20">
        <f>RANK(H18, H$18:H$27, 1)</f>
        <v>4</v>
      </c>
    </row>
    <row r="19" spans="1:9">
      <c r="A19" s="20">
        <f t="shared" si="0"/>
        <v>74</v>
      </c>
      <c r="B19" s="20" t="str">
        <f t="shared" si="0"/>
        <v xml:space="preserve">Edmonton                                                                                                                                                                                                                                                       </v>
      </c>
      <c r="C19" s="20">
        <f t="shared" ref="C19:D27" si="1">RANK(C5,C$4:C$13)</f>
        <v>4</v>
      </c>
      <c r="D19" s="20">
        <f t="shared" si="1"/>
        <v>3</v>
      </c>
      <c r="E19" s="20">
        <f t="shared" ref="E19:G27" si="2">RANK(E5, E$4:E$13)</f>
        <v>2</v>
      </c>
      <c r="F19" s="20">
        <f t="shared" si="2"/>
        <v>8</v>
      </c>
      <c r="G19" s="20">
        <f t="shared" si="2"/>
        <v>8</v>
      </c>
      <c r="H19" s="20">
        <f t="shared" ref="H19:H27" si="3">SUM(C19:G19)</f>
        <v>25</v>
      </c>
      <c r="I19" s="20">
        <f t="shared" ref="I19:I27" si="4">RANK(H19, H$18:H$27, 1)</f>
        <v>5</v>
      </c>
    </row>
    <row r="20" spans="1:9">
      <c r="A20" s="20">
        <f t="shared" si="0"/>
        <v>75</v>
      </c>
      <c r="B20" s="20" t="str">
        <f t="shared" si="0"/>
        <v xml:space="preserve">Halifax                                                                                                                                                                                                                                                        </v>
      </c>
      <c r="C20" s="20">
        <f t="shared" si="1"/>
        <v>5</v>
      </c>
      <c r="D20" s="20">
        <f t="shared" si="1"/>
        <v>2</v>
      </c>
      <c r="E20" s="20">
        <f t="shared" si="2"/>
        <v>5</v>
      </c>
      <c r="F20" s="20">
        <f t="shared" si="2"/>
        <v>6</v>
      </c>
      <c r="G20" s="20">
        <f t="shared" si="2"/>
        <v>9</v>
      </c>
      <c r="H20" s="20">
        <f t="shared" si="3"/>
        <v>27</v>
      </c>
      <c r="I20" s="20">
        <f t="shared" si="4"/>
        <v>7</v>
      </c>
    </row>
    <row r="21" spans="1:9">
      <c r="A21" s="20">
        <f t="shared" si="0"/>
        <v>76</v>
      </c>
      <c r="B21" s="20" t="str">
        <f t="shared" si="0"/>
        <v xml:space="preserve">Waterloo Region                                                                                                                                                                                                                                                </v>
      </c>
      <c r="C21" s="20">
        <f t="shared" si="1"/>
        <v>1</v>
      </c>
      <c r="D21" s="20">
        <f t="shared" si="1"/>
        <v>9</v>
      </c>
      <c r="E21" s="20">
        <f t="shared" si="2"/>
        <v>4</v>
      </c>
      <c r="F21" s="20">
        <f t="shared" si="2"/>
        <v>3</v>
      </c>
      <c r="G21" s="20">
        <f t="shared" si="2"/>
        <v>3</v>
      </c>
      <c r="H21" s="20">
        <f t="shared" si="3"/>
        <v>20</v>
      </c>
      <c r="I21" s="20">
        <f t="shared" si="4"/>
        <v>2</v>
      </c>
    </row>
    <row r="22" spans="1:9">
      <c r="A22" s="20">
        <f t="shared" si="0"/>
        <v>77</v>
      </c>
      <c r="B22" s="20" t="str">
        <f t="shared" si="0"/>
        <v xml:space="preserve">Winnipeg                                                                                                                                                                                                                                                       </v>
      </c>
      <c r="C22" s="20">
        <f t="shared" si="1"/>
        <v>9</v>
      </c>
      <c r="D22" s="20">
        <f t="shared" si="1"/>
        <v>8</v>
      </c>
      <c r="E22" s="20">
        <f t="shared" si="2"/>
        <v>3</v>
      </c>
      <c r="F22" s="20">
        <f t="shared" si="2"/>
        <v>4</v>
      </c>
      <c r="G22" s="20">
        <f t="shared" si="2"/>
        <v>4</v>
      </c>
      <c r="H22" s="20">
        <f t="shared" si="3"/>
        <v>28</v>
      </c>
      <c r="I22" s="20">
        <f t="shared" si="4"/>
        <v>9</v>
      </c>
    </row>
    <row r="23" spans="1:9">
      <c r="A23" s="20">
        <f t="shared" si="0"/>
        <v>78</v>
      </c>
      <c r="B23" s="20" t="str">
        <f t="shared" si="0"/>
        <v xml:space="preserve">Mississauga (Hamilton)                                                                                                                                                                                                                                         </v>
      </c>
      <c r="C23" s="20">
        <f t="shared" si="1"/>
        <v>6</v>
      </c>
      <c r="D23" s="20">
        <f t="shared" si="1"/>
        <v>6</v>
      </c>
      <c r="E23" s="20">
        <f t="shared" si="2"/>
        <v>8</v>
      </c>
      <c r="F23" s="20">
        <f t="shared" si="2"/>
        <v>1</v>
      </c>
      <c r="G23" s="20">
        <f t="shared" si="2"/>
        <v>2</v>
      </c>
      <c r="H23" s="20">
        <f t="shared" si="3"/>
        <v>23</v>
      </c>
      <c r="I23" s="20">
        <f t="shared" si="4"/>
        <v>3</v>
      </c>
    </row>
    <row r="24" spans="1:9">
      <c r="A24" s="20">
        <f t="shared" si="0"/>
        <v>79</v>
      </c>
      <c r="B24" s="20" t="str">
        <f t="shared" si="0"/>
        <v xml:space="preserve">Montreal                                                                                                                                                                                                                                                       </v>
      </c>
      <c r="C24" s="20">
        <f t="shared" si="1"/>
        <v>7</v>
      </c>
      <c r="D24" s="20">
        <f t="shared" si="1"/>
        <v>1</v>
      </c>
      <c r="E24" s="20">
        <f t="shared" si="2"/>
        <v>6</v>
      </c>
      <c r="F24" s="20">
        <f t="shared" si="2"/>
        <v>5</v>
      </c>
      <c r="G24" s="20">
        <f t="shared" si="2"/>
        <v>9</v>
      </c>
      <c r="H24" s="20">
        <f t="shared" si="3"/>
        <v>28</v>
      </c>
      <c r="I24" s="20">
        <f t="shared" si="4"/>
        <v>9</v>
      </c>
    </row>
    <row r="25" spans="1:9">
      <c r="A25" s="20">
        <f t="shared" si="0"/>
        <v>80</v>
      </c>
      <c r="B25" s="20" t="str">
        <f t="shared" si="0"/>
        <v xml:space="preserve">Ottawa-Gatineau                                                                                                                                                                                                                                                </v>
      </c>
      <c r="C25" s="20">
        <f t="shared" si="1"/>
        <v>3</v>
      </c>
      <c r="D25" s="20">
        <f t="shared" si="1"/>
        <v>4</v>
      </c>
      <c r="E25" s="20">
        <v>0</v>
      </c>
      <c r="F25" s="20">
        <v>0</v>
      </c>
      <c r="G25" s="20">
        <f t="shared" si="2"/>
        <v>1</v>
      </c>
      <c r="H25" s="20">
        <f t="shared" si="3"/>
        <v>8</v>
      </c>
      <c r="I25" s="20">
        <f t="shared" si="4"/>
        <v>1</v>
      </c>
    </row>
    <row r="26" spans="1:9">
      <c r="A26" s="20">
        <f t="shared" si="0"/>
        <v>81</v>
      </c>
      <c r="B26" s="20" t="str">
        <f t="shared" si="0"/>
        <v xml:space="preserve">Vancouver                                                                                                                                                                                                                                                      </v>
      </c>
      <c r="C26" s="20">
        <f t="shared" si="1"/>
        <v>10</v>
      </c>
      <c r="D26" s="20">
        <f t="shared" si="1"/>
        <v>10</v>
      </c>
      <c r="E26" s="20">
        <v>0</v>
      </c>
      <c r="F26" s="20">
        <v>0</v>
      </c>
      <c r="G26" s="20">
        <f t="shared" si="2"/>
        <v>6</v>
      </c>
      <c r="H26" s="20">
        <f t="shared" si="3"/>
        <v>26</v>
      </c>
      <c r="I26" s="20">
        <f t="shared" si="4"/>
        <v>6</v>
      </c>
    </row>
    <row r="27" spans="1:9">
      <c r="A27" s="20">
        <f t="shared" si="0"/>
        <v>82</v>
      </c>
      <c r="B27" s="20" t="str">
        <f t="shared" si="0"/>
        <v xml:space="preserve">Toronto                                                                                                                                                                                                                                                        </v>
      </c>
      <c r="C27" s="20">
        <f t="shared" si="1"/>
        <v>8</v>
      </c>
      <c r="D27" s="20">
        <f t="shared" si="1"/>
        <v>5</v>
      </c>
      <c r="E27" s="20">
        <f t="shared" si="2"/>
        <v>7</v>
      </c>
      <c r="F27" s="20">
        <f t="shared" si="2"/>
        <v>2</v>
      </c>
      <c r="G27" s="20">
        <f t="shared" si="2"/>
        <v>5</v>
      </c>
      <c r="H27" s="20">
        <f t="shared" si="3"/>
        <v>27</v>
      </c>
      <c r="I27" s="20">
        <f t="shared" si="4"/>
        <v>7</v>
      </c>
    </row>
    <row r="28" spans="1:9" ht="24">
      <c r="C28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7F0D31AC-4D00-47D2-8CB9-913AA3EE3D1B}"/>
</file>

<file path=customXml/itemProps2.xml><?xml version="1.0" encoding="utf-8"?>
<ds:datastoreItem xmlns:ds="http://schemas.openxmlformats.org/officeDocument/2006/customXml" ds:itemID="{EF9D1046-39C4-4A99-AF20-38D6BE7A492B}"/>
</file>

<file path=customXml/itemProps3.xml><?xml version="1.0" encoding="utf-8"?>
<ds:datastoreItem xmlns:ds="http://schemas.openxmlformats.org/officeDocument/2006/customXml" ds:itemID="{5270086B-B5BB-41A8-9F1A-513BB0D9EAEB}"/>
</file>

<file path=customXml/itemProps4.xml><?xml version="1.0" encoding="utf-8"?>
<ds:datastoreItem xmlns:ds="http://schemas.openxmlformats.org/officeDocument/2006/customXml" ds:itemID="{E45BEE02-6972-4B22-8615-2D46881E3C08}"/>
</file>

<file path=customXml/itemProps5.xml><?xml version="1.0" encoding="utf-8"?>
<ds:datastoreItem xmlns:ds="http://schemas.openxmlformats.org/officeDocument/2006/customXml" ds:itemID="{3CD93C31-E860-4611-A0A6-471AFB939AFD}"/>
</file>

<file path=customXml/itemProps6.xml><?xml version="1.0" encoding="utf-8"?>
<ds:datastoreItem xmlns:ds="http://schemas.openxmlformats.org/officeDocument/2006/customXml" ds:itemID="{4F3EA23B-CAD8-49E1-9882-164A4E55331F}"/>
</file>

<file path=customXml/itemProps7.xml><?xml version="1.0" encoding="utf-8"?>
<ds:datastoreItem xmlns:ds="http://schemas.openxmlformats.org/officeDocument/2006/customXml" ds:itemID="{BF33C1F8-70B5-40A2-85AE-17F1F13118A1}"/>
</file>

<file path=docMetadata/LabelInfo.xml><?xml version="1.0" encoding="utf-8"?>
<clbl:labelList xmlns:clbl="http://schemas.microsoft.com/office/2020/mipLabelMetadata">
  <clbl:label id="{4ddd393a-e98a-4404-841f-c4becdd925a5}" enabled="0" method="" siteId="{4ddd393a-e98a-4404-841f-c4becdd925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Sakshi Sandeep Salvi</dc:creator>
  <cp:keywords/>
  <dc:description/>
  <cp:lastModifiedBy/>
  <cp:revision/>
  <dcterms:created xsi:type="dcterms:W3CDTF">2025-07-08T22:35:03Z</dcterms:created>
  <dcterms:modified xsi:type="dcterms:W3CDTF">2025-07-19T21:31:41Z</dcterms:modified>
  <cp:category/>
  <cp:contentStatus/>
</cp:coreProperties>
</file>